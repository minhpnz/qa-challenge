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ogin Test Cases" sheetId="2" state="visible" r:id="rId2"/>
    <sheet name="Cart Test Cases" sheetId="3" state="visible" r:id="rId3"/>
    <sheet name="Defects" sheetId="4" state="visible" r:id="rId4"/>
  </sheets>
  <definedNames>
    <definedName name="_xlnm._FilterDatabase" localSheetId="1" hidden="1">'Login Test Cases'!$A$1:$L$1</definedName>
    <definedName name="_xlnm._FilterDatabase" localSheetId="2" hidden="1">'Cart Test Cases'!$A$1:$L$1</definedName>
    <definedName name="_xlnm._FilterDatabase" localSheetId="3" hidden="1">'Defects'!$A$1:$I$1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1F7A1F"/>
    </font>
    <font>
      <b val="1"/>
      <color rgb="00C00000"/>
    </font>
    <font>
      <color rgb="00808080"/>
    </font>
    <font>
      <b val="1"/>
      <color rgb="00BF8F00"/>
    </font>
    <font>
      <b val="1"/>
      <color rgb="00808080"/>
    </font>
    <font>
      <b val="1"/>
      <color rgb="001F3864"/>
      <sz val="16"/>
    </font>
    <font>
      <i val="1"/>
    </font>
    <font>
      <i val="1"/>
      <color rgb="00808080"/>
    </font>
    <font>
      <b val="1"/>
      <color rgb="001F3864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B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6DCE4"/>
      </left>
      <right style="thin">
        <color rgb="00D6DCE4"/>
      </right>
      <bottom style="medium">
        <color rgb="001F3864"/>
      </bottom>
    </border>
    <border>
      <left style="thin">
        <color rgb="00D6DCE4"/>
      </left>
      <right style="thin">
        <color rgb="00D6DCE4"/>
      </right>
      <bottom style="thin">
        <color rgb="008496B0"/>
      </bottom>
    </border>
    <border>
      <left/>
      <right style="thin">
        <color rgb="00D6DCE4"/>
      </right>
      <top/>
      <bottom/>
      <diagonal/>
    </border>
    <border>
      <left/>
      <right/>
      <top/>
      <bottom style="medium">
        <color rgb="001F3864"/>
      </bottom>
      <diagonal/>
    </border>
    <border>
      <left/>
      <right style="thin">
        <color rgb="00D6DCE4"/>
      </right>
      <top/>
      <bottom style="medium">
        <color rgb="001F3864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0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78" customWidth="1" min="5" max="5"/>
  </cols>
  <sheetData>
    <row r="1">
      <c r="A1" s="1" t="inlineStr">
        <is>
          <t>DemoBlaze — Login &amp; Cart Test Case Suite</t>
        </is>
      </c>
    </row>
    <row r="2">
      <c r="A2" s="2" t="inlineStr">
        <is>
          <t>Application under test: https://www.demoblaze.com/</t>
        </is>
      </c>
    </row>
    <row r="3">
      <c r="A3" t="inlineStr">
        <is>
          <t>Scope: Login (incl. registration as a dependency) and Cart / Checkout</t>
        </is>
      </c>
    </row>
    <row r="4">
      <c r="A4" s="3" t="inlineStr">
        <is>
          <t>Generated from scripts/test_case_data.py — regenerate with: python3 scripts/generate_test_cases.py</t>
        </is>
      </c>
    </row>
    <row r="6">
      <c r="A6" s="4" t="inlineStr">
        <is>
          <t>Coverage</t>
        </is>
      </c>
    </row>
    <row r="7" ht="20" customHeight="1">
      <c r="A7" s="5" t="inlineStr">
        <is>
          <t>Metric</t>
        </is>
      </c>
      <c r="B7" s="6" t="inlineStr">
        <is>
          <t>Login</t>
        </is>
      </c>
      <c r="C7" s="6" t="inlineStr">
        <is>
          <t>Cart</t>
        </is>
      </c>
      <c r="D7" s="6" t="inlineStr">
        <is>
          <t>Total</t>
        </is>
      </c>
      <c r="E7" s="6" t="inlineStr">
        <is>
          <t>Notes</t>
        </is>
      </c>
    </row>
    <row r="8">
      <c r="A8" s="7" t="inlineStr">
        <is>
          <t>Total test cases</t>
        </is>
      </c>
      <c r="B8" s="8">
        <f>COUNTA('Login Test Cases'!$A$2:$A$45)</f>
        <v/>
      </c>
      <c r="C8" s="8">
        <f>COUNTA('Cart Test Cases'!$A$2:$A$51)</f>
        <v/>
      </c>
      <c r="D8" s="8">
        <f>B8+C8</f>
        <v/>
      </c>
      <c r="E8" s="7" t="inlineStr">
        <is>
          <t>44 Login + 50 Cart.</t>
        </is>
      </c>
    </row>
    <row r="9">
      <c r="A9" s="9" t="inlineStr">
        <is>
          <t xml:space="preserve">    Functional</t>
        </is>
      </c>
      <c r="B9" s="10">
        <f>COUNTIF('Login Test Cases'!$D$2:$D$45,"Functional")</f>
        <v/>
      </c>
      <c r="C9" s="10">
        <f>COUNTIF('Cart Test Cases'!$D$2:$D$51,"Functional")</f>
        <v/>
      </c>
      <c r="D9" s="10">
        <f>B9+C9</f>
        <v/>
      </c>
      <c r="E9" s="9" t="inlineStr"/>
    </row>
    <row r="10">
      <c r="A10" s="11" t="inlineStr">
        <is>
          <t xml:space="preserve">    Negative</t>
        </is>
      </c>
      <c r="B10" s="12">
        <f>COUNTIF('Login Test Cases'!$D$2:$D$45,"Negative")</f>
        <v/>
      </c>
      <c r="C10" s="12">
        <f>COUNTIF('Cart Test Cases'!$D$2:$D$51,"Negative")</f>
        <v/>
      </c>
      <c r="D10" s="12">
        <f>B10+C10</f>
        <v/>
      </c>
      <c r="E10" s="11" t="inlineStr"/>
    </row>
    <row r="11">
      <c r="A11" s="9" t="inlineStr">
        <is>
          <t xml:space="preserve">    Edge case</t>
        </is>
      </c>
      <c r="B11" s="10">
        <f>COUNTIF('Login Test Cases'!$D$2:$D$45,"Edge case")</f>
        <v/>
      </c>
      <c r="C11" s="10">
        <f>COUNTIF('Cart Test Cases'!$D$2:$D$51,"Edge case")</f>
        <v/>
      </c>
      <c r="D11" s="10">
        <f>B11+C11</f>
        <v/>
      </c>
      <c r="E11" s="9" t="inlineStr"/>
    </row>
    <row r="12">
      <c r="A12" s="11" t="inlineStr">
        <is>
          <t xml:space="preserve">    Security</t>
        </is>
      </c>
      <c r="B12" s="12">
        <f>COUNTIF('Login Test Cases'!$D$2:$D$45,"Security")</f>
        <v/>
      </c>
      <c r="C12" s="12">
        <f>COUNTIF('Cart Test Cases'!$D$2:$D$51,"Security")</f>
        <v/>
      </c>
      <c r="D12" s="12">
        <f>B12+C12</f>
        <v/>
      </c>
      <c r="E12" s="11" t="inlineStr"/>
    </row>
    <row r="13">
      <c r="A13" s="9" t="inlineStr">
        <is>
          <t xml:space="preserve">    UI</t>
        </is>
      </c>
      <c r="B13" s="10">
        <f>COUNTIF('Login Test Cases'!$D$2:$D$45,"UI")</f>
        <v/>
      </c>
      <c r="C13" s="10">
        <f>COUNTIF('Cart Test Cases'!$D$2:$D$51,"UI")</f>
        <v/>
      </c>
      <c r="D13" s="10">
        <f>B13+C13</f>
        <v/>
      </c>
      <c r="E13" s="9" t="inlineStr"/>
    </row>
    <row r="14">
      <c r="A14" s="7" t="inlineStr">
        <is>
          <t>P0 — blocks release</t>
        </is>
      </c>
      <c r="B14" s="8">
        <f>COUNTIF('Login Test Cases'!$E$2:$E$45,"P0")</f>
        <v/>
      </c>
      <c r="C14" s="8">
        <f>COUNTIF('Cart Test Cases'!$E$2:$E$51,"P0")</f>
        <v/>
      </c>
      <c r="D14" s="8">
        <f>B14+C14</f>
        <v/>
      </c>
      <c r="E14" s="7" t="inlineStr">
        <is>
          <t>Login, add to cart, checkout, cross-account cart isolation.</t>
        </is>
      </c>
    </row>
    <row r="15">
      <c r="A15" s="9" t="inlineStr">
        <is>
          <t>Automated</t>
        </is>
      </c>
      <c r="B15" s="10">
        <f>COUNTIF('Login Test Cases'!$J$2:$J$45,"Yes")</f>
        <v/>
      </c>
      <c r="C15" s="10">
        <f>COUNTIF('Cart Test Cases'!$J$2:$J$51,"Yes")</f>
        <v/>
      </c>
      <c r="D15" s="10">
        <f>B15+C15</f>
        <v/>
      </c>
      <c r="E15" s="9" t="inlineStr">
        <is>
          <t>Covered by the Playwright suite in this repository.</t>
        </is>
      </c>
    </row>
    <row r="16">
      <c r="A16" s="11" t="inlineStr">
        <is>
          <t>Manual / exploratory</t>
        </is>
      </c>
      <c r="B16" s="12">
        <f>COUNTIF('Login Test Cases'!$J$2:$J$45,"No")</f>
        <v/>
      </c>
      <c r="C16" s="12">
        <f>COUNTIF('Cart Test Cases'!$J$2:$J$51,"No")</f>
        <v/>
      </c>
      <c r="D16" s="12">
        <f>B16+C16</f>
        <v/>
      </c>
      <c r="E16" s="11" t="inlineStr">
        <is>
          <t>Deliberately not automated: browser chrome (Escape, backdrop, browser Back), network-fault injection, and security probes needing a controlled environment.</t>
        </is>
      </c>
    </row>
    <row r="17">
      <c r="A17" s="13" t="inlineStr">
        <is>
          <t>Automation coverage</t>
        </is>
      </c>
      <c r="B17" s="10" t="n"/>
      <c r="C17" s="10" t="n"/>
      <c r="D17" s="14">
        <f>IF(D8=0,0,D15/D8)</f>
        <v/>
      </c>
      <c r="E17" s="9" t="inlineStr">
        <is>
          <t>Share of documented cases with an executable check. P0 coverage is what gates a release, not this number.</t>
        </is>
      </c>
    </row>
    <row r="19">
      <c r="A19" s="4" t="inlineStr">
        <is>
          <t>Defects raised</t>
        </is>
      </c>
    </row>
    <row r="20" ht="20" customHeight="1">
      <c r="A20" s="5" t="inlineStr">
        <is>
          <t>Severity</t>
        </is>
      </c>
      <c r="B20" s="6" t="inlineStr">
        <is>
          <t>Count</t>
        </is>
      </c>
      <c r="C20" s="6" t="inlineStr"/>
      <c r="D20" s="6" t="inlineStr"/>
      <c r="E20" s="6" t="inlineStr">
        <is>
          <t>Notes</t>
        </is>
      </c>
    </row>
    <row r="21">
      <c r="A21" s="7" t="inlineStr">
        <is>
          <t>Total logged</t>
        </is>
      </c>
      <c r="B21" s="8">
        <f>COUNTA(Defects!$A$2:$A$16)</f>
        <v/>
      </c>
      <c r="C21" s="8" t="n"/>
      <c r="D21" s="8" t="n"/>
      <c r="E21" s="7" t="inlineStr">
        <is>
          <t>Full detail, with verification method, on the Defects tab.</t>
        </is>
      </c>
    </row>
    <row r="22">
      <c r="A22" s="9" t="inlineStr">
        <is>
          <t xml:space="preserve">    High severity</t>
        </is>
      </c>
      <c r="B22" s="15">
        <f>COUNTIF(Defects!$C$2:$C$16,"High")</f>
        <v/>
      </c>
      <c r="C22" s="10" t="n"/>
      <c r="D22" s="10" t="n"/>
      <c r="E22" s="9" t="inlineStr">
        <is>
          <t>Empty-cart checkout, no login rate limiting, unmasked card number, confirmation shown before the server confirms, HTTP 500 on empty username.</t>
        </is>
      </c>
    </row>
    <row r="23">
      <c r="A23" s="11" t="inlineStr">
        <is>
          <t xml:space="preserve">    Medium severity</t>
        </is>
      </c>
      <c r="B23" s="16">
        <f>COUNTIF(Defects!$C$2:$C$16,"Medium")</f>
        <v/>
      </c>
      <c r="C23" s="12" t="n"/>
      <c r="D23" s="12" t="n"/>
      <c r="E23" s="11" t="inlineStr">
        <is>
          <t>Receipt dated a month early, presence-only order validation, username enumeration, no password policy, silent login failure when the API is down.</t>
        </is>
      </c>
    </row>
    <row r="24">
      <c r="A24" s="9" t="inlineStr">
        <is>
          <t xml:space="preserve">    Low severity</t>
        </is>
      </c>
      <c r="B24" s="17">
        <f>COUNTIF(Defects!$C$2:$C$16,"Low")</f>
        <v/>
      </c>
      <c r="C24" s="10" t="n"/>
      <c r="D24" s="10" t="n"/>
      <c r="E24" s="9" t="inlineStr">
        <is>
          <t>Anonymous cart discarded on login, duplicate DOM ids, trailing newline in a product title, inconsistent confirmation copy, Enter does not submit.</t>
        </is>
      </c>
    </row>
    <row r="27">
      <c r="A27" s="4" t="inlineStr">
        <is>
          <t>How to read this workbook</t>
        </is>
      </c>
    </row>
    <row r="28" ht="20" customHeight="1">
      <c r="A28" s="5" t="inlineStr">
        <is>
          <t>Column / tab</t>
        </is>
      </c>
      <c r="B28" s="6" t="inlineStr">
        <is>
          <t>Meaning</t>
        </is>
      </c>
      <c r="C28" s="18" t="n"/>
      <c r="D28" s="18" t="n"/>
      <c r="E28" s="19" t="n"/>
    </row>
    <row r="29" ht="18" customHeight="1">
      <c r="A29" s="13" t="inlineStr">
        <is>
          <t>Login Test Cases</t>
        </is>
      </c>
      <c r="B29" s="9" t="inlineStr">
        <is>
          <t>44 cases: authentication, session handling, validation, security, boundaries.</t>
        </is>
      </c>
      <c r="C29" s="10" t="n"/>
      <c r="D29" s="10" t="n"/>
      <c r="E29" s="9" t="n"/>
    </row>
    <row r="30" ht="18" customHeight="1">
      <c r="A30" s="7" t="inlineStr">
        <is>
          <t>Cart Test Cases</t>
        </is>
      </c>
      <c r="B30" s="11" t="inlineStr">
        <is>
          <t>50 cases: add-to-cart, cart management, persistence, isolation, checkout.</t>
        </is>
      </c>
      <c r="C30" s="12" t="n"/>
      <c r="D30" s="12" t="n"/>
      <c r="E30" s="11" t="n"/>
    </row>
    <row r="31" ht="18" customHeight="1">
      <c r="A31" s="13" t="inlineStr">
        <is>
          <t>Defects</t>
        </is>
      </c>
      <c r="B31" s="9" t="inlineStr">
        <is>
          <t>Every issue found in the application, cross-referenced to the case that exposes it.</t>
        </is>
      </c>
      <c r="C31" s="10" t="n"/>
      <c r="D31" s="10" t="n"/>
      <c r="E31" s="9" t="n"/>
    </row>
    <row r="32" ht="30" customHeight="1">
      <c r="A32" s="7" t="inlineStr">
        <is>
          <t>Type</t>
        </is>
      </c>
      <c r="B32" s="11" t="inlineStr">
        <is>
          <t>Functional = intended behaviour. Negative = invalid input rejected. Edge case = boundary or unusual-but-valid. Security / UI as labelled.</t>
        </is>
      </c>
      <c r="C32" s="12" t="n"/>
      <c r="D32" s="12" t="n"/>
      <c r="E32" s="11" t="n"/>
    </row>
    <row r="33" ht="18" customHeight="1">
      <c r="A33" s="13" t="inlineStr">
        <is>
          <t>Priority</t>
        </is>
      </c>
      <c r="B33" s="9" t="inlineStr">
        <is>
          <t>P0 = blocks release. P1 = important. P2 = lower risk.</t>
        </is>
      </c>
      <c r="C33" s="10" t="n"/>
      <c r="D33" s="10" t="n"/>
      <c r="E33" s="9" t="n"/>
    </row>
    <row r="34" ht="18" customHeight="1">
      <c r="A34" s="7" t="inlineStr">
        <is>
          <t>Automated</t>
        </is>
      </c>
      <c r="B34" s="11" t="inlineStr">
        <is>
          <t>Yes = an executable check exists. No = deliberately manual, for the reasons above.</t>
        </is>
      </c>
      <c r="C34" s="12" t="n"/>
      <c r="D34" s="12" t="n"/>
      <c r="E34" s="11" t="n"/>
    </row>
    <row r="35" ht="30" customHeight="1">
      <c r="A35" s="13" t="inlineStr">
        <is>
          <t>Automation Reference</t>
        </is>
      </c>
      <c r="B35" s="9" t="inlineStr">
        <is>
          <t>The exact spec and test title that runs the case, so a reviewer can go from a row straight to running code.</t>
        </is>
      </c>
      <c r="C35" s="10" t="n"/>
      <c r="D35" s="10" t="n"/>
      <c r="E35" s="9" t="n"/>
    </row>
    <row r="36" ht="30" customHeight="1">
      <c r="A36" s="7" t="inlineStr">
        <is>
          <t>Expected Result</t>
        </is>
      </c>
      <c r="B36" s="11" t="inlineStr">
        <is>
          <t>Where the app is defective the row states BOTH the expected and the observed behaviour and names the defect. A case that records a bug as correct behaviour launders the defect into a requirement.</t>
        </is>
      </c>
      <c r="C36" s="12" t="n"/>
      <c r="D36" s="12" t="n"/>
      <c r="E36" s="11" t="n"/>
    </row>
  </sheetData>
  <mergeCells count="9">
    <mergeCell ref="B31:E31"/>
    <mergeCell ref="B35:E35"/>
    <mergeCell ref="B30:E30"/>
    <mergeCell ref="B29:E29"/>
    <mergeCell ref="B33:E33"/>
    <mergeCell ref="B34:E34"/>
    <mergeCell ref="B28:E28"/>
    <mergeCell ref="B36:E36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46" customWidth="1" min="3" max="3"/>
    <col width="13" customWidth="1" min="4" max="4"/>
    <col width="9" customWidth="1" min="5" max="5"/>
    <col width="30" customWidth="1" min="6" max="6"/>
    <col width="46" customWidth="1" min="7" max="7"/>
    <col width="26" customWidth="1" min="8" max="8"/>
    <col width="58" customWidth="1" min="9" max="9"/>
    <col width="11" customWidth="1" min="10" max="10"/>
    <col width="52" customWidth="1" min="11" max="11"/>
    <col width="12" customWidth="1" min="12" max="12"/>
  </cols>
  <sheetData>
    <row r="1" ht="26" customHeight="1">
      <c r="A1" s="20" t="inlineStr">
        <is>
          <t>Test Case ID</t>
        </is>
      </c>
      <c r="B1" s="20" t="inlineStr">
        <is>
          <t>Feature Area</t>
        </is>
      </c>
      <c r="C1" s="20" t="inlineStr">
        <is>
          <t>Title</t>
        </is>
      </c>
      <c r="D1" s="20" t="inlineStr">
        <is>
          <t>Type</t>
        </is>
      </c>
      <c r="E1" s="20" t="inlineStr">
        <is>
          <t>Priority</t>
        </is>
      </c>
      <c r="F1" s="20" t="inlineStr">
        <is>
          <t>Preconditions</t>
        </is>
      </c>
      <c r="G1" s="20" t="inlineStr">
        <is>
          <t>Test Steps</t>
        </is>
      </c>
      <c r="H1" s="20" t="inlineStr">
        <is>
          <t>Test Data</t>
        </is>
      </c>
      <c r="I1" s="20" t="inlineStr">
        <is>
          <t>Expected Result</t>
        </is>
      </c>
      <c r="J1" s="20" t="inlineStr">
        <is>
          <t>Automated</t>
        </is>
      </c>
      <c r="K1" s="20" t="inlineStr">
        <is>
          <t>Automation Reference</t>
        </is>
      </c>
      <c r="L1" s="20" t="inlineStr">
        <is>
          <t>Defect ID</t>
        </is>
      </c>
    </row>
    <row r="2" ht="34" customHeight="1">
      <c r="A2" s="21" t="inlineStr">
        <is>
          <t>LGN-001</t>
        </is>
      </c>
      <c r="B2" s="22" t="inlineStr">
        <is>
          <t>Login modal</t>
        </is>
      </c>
      <c r="C2" s="22" t="inlineStr">
        <is>
          <t>Login modal opens from the header</t>
        </is>
      </c>
      <c r="D2" s="22" t="inlineStr">
        <is>
          <t>Functional</t>
        </is>
      </c>
      <c r="E2" s="22" t="inlineStr">
        <is>
          <t>P1</t>
        </is>
      </c>
      <c r="F2" s="22" t="inlineStr">
        <is>
          <t>User is on the home page, logged out</t>
        </is>
      </c>
      <c r="G2" s="22" t="inlineStr">
        <is>
          <t>1. Open https://www.demoblaze.com/
2. Click 'Log in' in the header</t>
        </is>
      </c>
      <c r="H2" s="22" t="inlineStr">
        <is>
          <t>-</t>
        </is>
      </c>
      <c r="I2" s="22" t="inlineStr">
        <is>
          <t>The 'Log in' modal opens showing Username and Password fields, plus Close and Log in buttons</t>
        </is>
      </c>
      <c r="J2" s="23" t="inlineStr">
        <is>
          <t>Yes</t>
        </is>
      </c>
      <c r="K2" s="22" t="inlineStr">
        <is>
          <t>tests/ui/login/login.spec.ts › logs in with valid credentials</t>
        </is>
      </c>
      <c r="L2" s="22" t="inlineStr">
        <is>
          <t>—</t>
        </is>
      </c>
    </row>
    <row r="3" ht="76" customHeight="1">
      <c r="A3" s="24" t="inlineStr">
        <is>
          <t>LGN-002</t>
        </is>
      </c>
      <c r="B3" s="25" t="inlineStr">
        <is>
          <t>Authentication</t>
        </is>
      </c>
      <c r="C3" s="25" t="inlineStr">
        <is>
          <t>Log in with valid credentials</t>
        </is>
      </c>
      <c r="D3" s="25" t="inlineStr">
        <is>
          <t>Functional</t>
        </is>
      </c>
      <c r="E3" s="26" t="inlineStr">
        <is>
          <t>P0</t>
        </is>
      </c>
      <c r="F3" s="25" t="inlineStr">
        <is>
          <t>A registered account exists</t>
        </is>
      </c>
      <c r="G3" s="25" t="inlineStr">
        <is>
          <t>1. Open the home page
2. Click 'Log in'
3. Enter a valid username
4. Enter the matching password
5. Click 'Log in'</t>
        </is>
      </c>
      <c r="H3" s="25" t="inlineStr">
        <is>
          <t>username: &lt;valid user&gt;
password: &lt;valid password&gt;</t>
        </is>
      </c>
      <c r="I3" s="25" t="inlineStr">
        <is>
          <t>Modal closes, header shows 'Welcome &lt;username&gt;', 'Log out' is visible and 'Log in' / 'Sign up' are hidden</t>
        </is>
      </c>
      <c r="J3" s="27" t="inlineStr">
        <is>
          <t>Yes</t>
        </is>
      </c>
      <c r="K3" s="25" t="inlineStr">
        <is>
          <t>tests/ui/login/login.spec.ts › logs in with valid credentials</t>
        </is>
      </c>
      <c r="L3" s="25" t="inlineStr">
        <is>
          <t>—</t>
        </is>
      </c>
    </row>
    <row r="4" ht="34" customHeight="1">
      <c r="A4" s="21" t="inlineStr">
        <is>
          <t>LGN-003</t>
        </is>
      </c>
      <c r="B4" s="22" t="inlineStr">
        <is>
          <t>Session</t>
        </is>
      </c>
      <c r="C4" s="22" t="inlineStr">
        <is>
          <t>Session persists across page navigation</t>
        </is>
      </c>
      <c r="D4" s="22" t="inlineStr">
        <is>
          <t>Functional</t>
        </is>
      </c>
      <c r="E4" s="28" t="inlineStr">
        <is>
          <t>P0</t>
        </is>
      </c>
      <c r="F4" s="22" t="inlineStr">
        <is>
          <t>User is logged in</t>
        </is>
      </c>
      <c r="G4" s="22" t="inlineStr">
        <is>
          <t>1. Log in on the home page
2. Navigate to the Cart page</t>
        </is>
      </c>
      <c r="H4" s="22" t="inlineStr">
        <is>
          <t>-</t>
        </is>
      </c>
      <c r="I4" s="22" t="inlineStr">
        <is>
          <t>The header still shows 'Welcome &lt;username&gt;' on the Cart page; the session is not lost on navigation</t>
        </is>
      </c>
      <c r="J4" s="23" t="inlineStr">
        <is>
          <t>Yes</t>
        </is>
      </c>
      <c r="K4" s="22" t="inlineStr">
        <is>
          <t>tests/ui/login/login.spec.ts › keeps the session across navigation</t>
        </is>
      </c>
      <c r="L4" s="22" t="inlineStr">
        <is>
          <t>—</t>
        </is>
      </c>
    </row>
    <row r="5" ht="34" customHeight="1">
      <c r="A5" s="24" t="inlineStr">
        <is>
          <t>LGN-004</t>
        </is>
      </c>
      <c r="B5" s="25" t="inlineStr">
        <is>
          <t>Session</t>
        </is>
      </c>
      <c r="C5" s="25" t="inlineStr">
        <is>
          <t>Session persists after a page refresh</t>
        </is>
      </c>
      <c r="D5" s="25" t="inlineStr">
        <is>
          <t>Functional</t>
        </is>
      </c>
      <c r="E5" s="25" t="inlineStr">
        <is>
          <t>P1</t>
        </is>
      </c>
      <c r="F5" s="25" t="inlineStr">
        <is>
          <t>User is logged in</t>
        </is>
      </c>
      <c r="G5" s="25" t="inlineStr">
        <is>
          <t>1. Log in
2. Press F5 / reload the page</t>
        </is>
      </c>
      <c r="H5" s="25" t="inlineStr">
        <is>
          <t>-</t>
        </is>
      </c>
      <c r="I5" s="25" t="inlineStr">
        <is>
          <t>User remains logged in after the reload; 'Welcome &lt;username&gt;' is still displayed</t>
        </is>
      </c>
      <c r="J5" s="29" t="inlineStr">
        <is>
          <t>No</t>
        </is>
      </c>
      <c r="K5" s="25" t="inlineStr">
        <is>
          <t>—</t>
        </is>
      </c>
      <c r="L5" s="25" t="inlineStr">
        <is>
          <t>—</t>
        </is>
      </c>
    </row>
    <row r="6" ht="48" customHeight="1">
      <c r="A6" s="21" t="inlineStr">
        <is>
          <t>LGN-005</t>
        </is>
      </c>
      <c r="B6" s="22" t="inlineStr">
        <is>
          <t>Session</t>
        </is>
      </c>
      <c r="C6" s="22" t="inlineStr">
        <is>
          <t>Log out returns the user to the anonymous state</t>
        </is>
      </c>
      <c r="D6" s="22" t="inlineStr">
        <is>
          <t>Functional</t>
        </is>
      </c>
      <c r="E6" s="28" t="inlineStr">
        <is>
          <t>P0</t>
        </is>
      </c>
      <c r="F6" s="22" t="inlineStr">
        <is>
          <t>User is logged in</t>
        </is>
      </c>
      <c r="G6" s="22" t="inlineStr">
        <is>
          <t>1. Click 'Log out' in the header</t>
        </is>
      </c>
      <c r="H6" s="22" t="inlineStr">
        <is>
          <t>-</t>
        </is>
      </c>
      <c r="I6" s="22" t="inlineStr">
        <is>
          <t>User is redirected to the home page; 'Log in' and 'Sign up' are visible, 'Log out' and the welcome label are hidden</t>
        </is>
      </c>
      <c r="J6" s="23" t="inlineStr">
        <is>
          <t>Yes</t>
        </is>
      </c>
      <c r="K6" s="22" t="inlineStr">
        <is>
          <t>tests/ui/login/login.spec.ts › logs out and returns to the anonymous state</t>
        </is>
      </c>
      <c r="L6" s="22" t="inlineStr">
        <is>
          <t>—</t>
        </is>
      </c>
    </row>
    <row r="7" ht="48" customHeight="1">
      <c r="A7" s="24" t="inlineStr">
        <is>
          <t>LGN-006</t>
        </is>
      </c>
      <c r="B7" s="25" t="inlineStr">
        <is>
          <t>Session</t>
        </is>
      </c>
      <c r="C7" s="25" t="inlineStr">
        <is>
          <t>Cart page shows the anonymous state after log out</t>
        </is>
      </c>
      <c r="D7" s="25" t="inlineStr">
        <is>
          <t>Functional</t>
        </is>
      </c>
      <c r="E7" s="25" t="inlineStr">
        <is>
          <t>P1</t>
        </is>
      </c>
      <c r="F7" s="25" t="inlineStr">
        <is>
          <t>User was logged in and has logged out</t>
        </is>
      </c>
      <c r="G7" s="25" t="inlineStr">
        <is>
          <t>1. Log in
2. Log out
3. Navigate to the Cart page</t>
        </is>
      </c>
      <c r="H7" s="25" t="inlineStr">
        <is>
          <t>-</t>
        </is>
      </c>
      <c r="I7" s="25" t="inlineStr">
        <is>
          <t>The Cart page header shows 'Log in' / 'Sign up' and no welcome label</t>
        </is>
      </c>
      <c r="J7" s="29" t="inlineStr">
        <is>
          <t>No</t>
        </is>
      </c>
      <c r="K7" s="25" t="inlineStr">
        <is>
          <t>—</t>
        </is>
      </c>
      <c r="L7" s="25" t="inlineStr">
        <is>
          <t>—</t>
        </is>
      </c>
    </row>
    <row r="8" ht="48" customHeight="1">
      <c r="A8" s="21" t="inlineStr">
        <is>
          <t>LGN-007</t>
        </is>
      </c>
      <c r="B8" s="22" t="inlineStr">
        <is>
          <t>Login modal</t>
        </is>
      </c>
      <c r="C8" s="22" t="inlineStr">
        <is>
          <t>Login is available from the Cart page</t>
        </is>
      </c>
      <c r="D8" s="22" t="inlineStr">
        <is>
          <t>Functional</t>
        </is>
      </c>
      <c r="E8" s="22" t="inlineStr">
        <is>
          <t>P2</t>
        </is>
      </c>
      <c r="F8" s="22" t="inlineStr">
        <is>
          <t>User is logged out</t>
        </is>
      </c>
      <c r="G8" s="22" t="inlineStr">
        <is>
          <t>1. Navigate to the Cart page
2. Click 'Log in'
3. Submit valid credentials</t>
        </is>
      </c>
      <c r="H8" s="22" t="inlineStr">
        <is>
          <t>username: &lt;valid user&gt;
password: &lt;valid password&gt;</t>
        </is>
      </c>
      <c r="I8" s="22" t="inlineStr">
        <is>
          <t>Login succeeds and the Cart page reflects the authenticated state</t>
        </is>
      </c>
      <c r="J8" s="30" t="inlineStr">
        <is>
          <t>No</t>
        </is>
      </c>
      <c r="K8" s="22" t="inlineStr">
        <is>
          <t>—</t>
        </is>
      </c>
      <c r="L8" s="22" t="inlineStr">
        <is>
          <t>—</t>
        </is>
      </c>
    </row>
    <row r="9" ht="48" customHeight="1">
      <c r="A9" s="24" t="inlineStr">
        <is>
          <t>LGN-008</t>
        </is>
      </c>
      <c r="B9" s="25" t="inlineStr">
        <is>
          <t>Login modal</t>
        </is>
      </c>
      <c r="C9" s="25" t="inlineStr">
        <is>
          <t>Login is available from a product page</t>
        </is>
      </c>
      <c r="D9" s="25" t="inlineStr">
        <is>
          <t>Functional</t>
        </is>
      </c>
      <c r="E9" s="25" t="inlineStr">
        <is>
          <t>P2</t>
        </is>
      </c>
      <c r="F9" s="25" t="inlineStr">
        <is>
          <t>User is logged out</t>
        </is>
      </c>
      <c r="G9" s="25" t="inlineStr">
        <is>
          <t>1. Open any product page
2. Click 'Log in'
3. Submit valid credentials</t>
        </is>
      </c>
      <c r="H9" s="25" t="inlineStr">
        <is>
          <t>username: &lt;valid user&gt;
password: &lt;valid password&gt;</t>
        </is>
      </c>
      <c r="I9" s="25" t="inlineStr">
        <is>
          <t>Login succeeds without leaving the product page context</t>
        </is>
      </c>
      <c r="J9" s="27" t="inlineStr">
        <is>
          <t>Yes</t>
        </is>
      </c>
      <c r="K9" s="25" t="inlineStr">
        <is>
          <t>tests/ui/cart/add-to-cart.spec.ts › does not carry an anonymous cart into the session after login</t>
        </is>
      </c>
      <c r="L9" s="25" t="inlineStr">
        <is>
          <t>—</t>
        </is>
      </c>
    </row>
    <row r="10" ht="34" customHeight="1">
      <c r="A10" s="21" t="inlineStr">
        <is>
          <t>LGN-009</t>
        </is>
      </c>
      <c r="B10" s="22" t="inlineStr">
        <is>
          <t>Login modal</t>
        </is>
      </c>
      <c r="C10" s="22" t="inlineStr">
        <is>
          <t>Modal can be dismissed with the Close button</t>
        </is>
      </c>
      <c r="D10" s="22" t="inlineStr">
        <is>
          <t>Functional</t>
        </is>
      </c>
      <c r="E10" s="22" t="inlineStr">
        <is>
          <t>P2</t>
        </is>
      </c>
      <c r="F10" s="22" t="inlineStr">
        <is>
          <t>Login modal is open</t>
        </is>
      </c>
      <c r="G10" s="22" t="inlineStr">
        <is>
          <t>1. Open the login modal
2. Click 'Close'</t>
        </is>
      </c>
      <c r="H10" s="22" t="inlineStr">
        <is>
          <t>-</t>
        </is>
      </c>
      <c r="I10" s="22" t="inlineStr">
        <is>
          <t>Modal closes, the user remains logged out and the page is still interactive</t>
        </is>
      </c>
      <c r="J10" s="30" t="inlineStr">
        <is>
          <t>No</t>
        </is>
      </c>
      <c r="K10" s="22" t="inlineStr">
        <is>
          <t>—</t>
        </is>
      </c>
      <c r="L10" s="22" t="inlineStr">
        <is>
          <t>—</t>
        </is>
      </c>
    </row>
    <row r="11" ht="34" customHeight="1">
      <c r="A11" s="24" t="inlineStr">
        <is>
          <t>LGN-010</t>
        </is>
      </c>
      <c r="B11" s="25" t="inlineStr">
        <is>
          <t>Login modal</t>
        </is>
      </c>
      <c r="C11" s="25" t="inlineStr">
        <is>
          <t>Modal can be dismissed with the X control</t>
        </is>
      </c>
      <c r="D11" s="25" t="inlineStr">
        <is>
          <t>Functional</t>
        </is>
      </c>
      <c r="E11" s="25" t="inlineStr">
        <is>
          <t>P2</t>
        </is>
      </c>
      <c r="F11" s="25" t="inlineStr">
        <is>
          <t>Login modal is open</t>
        </is>
      </c>
      <c r="G11" s="25" t="inlineStr">
        <is>
          <t>1. Open the login modal
2. Click the X in the modal header</t>
        </is>
      </c>
      <c r="H11" s="25" t="inlineStr">
        <is>
          <t>-</t>
        </is>
      </c>
      <c r="I11" s="25" t="inlineStr">
        <is>
          <t>Modal closes and the user remains logged out</t>
        </is>
      </c>
      <c r="J11" s="29" t="inlineStr">
        <is>
          <t>No</t>
        </is>
      </c>
      <c r="K11" s="25" t="inlineStr">
        <is>
          <t>—</t>
        </is>
      </c>
      <c r="L11" s="25" t="inlineStr">
        <is>
          <t>—</t>
        </is>
      </c>
    </row>
    <row r="12" ht="34" customHeight="1">
      <c r="A12" s="21" t="inlineStr">
        <is>
          <t>LGN-011</t>
        </is>
      </c>
      <c r="B12" s="22" t="inlineStr">
        <is>
          <t>Login modal</t>
        </is>
      </c>
      <c r="C12" s="22" t="inlineStr">
        <is>
          <t>Modal can be dismissed with the Escape key</t>
        </is>
      </c>
      <c r="D12" s="22" t="inlineStr">
        <is>
          <t>Functional</t>
        </is>
      </c>
      <c r="E12" s="22" t="inlineStr">
        <is>
          <t>P2</t>
        </is>
      </c>
      <c r="F12" s="22" t="inlineStr">
        <is>
          <t>Login modal is open</t>
        </is>
      </c>
      <c r="G12" s="22" t="inlineStr">
        <is>
          <t>1. Open the login modal
2. Press Escape</t>
        </is>
      </c>
      <c r="H12" s="22" t="inlineStr">
        <is>
          <t>-</t>
        </is>
      </c>
      <c r="I12" s="22" t="inlineStr">
        <is>
          <t>Modal closes and the user remains logged out</t>
        </is>
      </c>
      <c r="J12" s="30" t="inlineStr">
        <is>
          <t>No</t>
        </is>
      </c>
      <c r="K12" s="22" t="inlineStr">
        <is>
          <t>—</t>
        </is>
      </c>
      <c r="L12" s="22" t="inlineStr">
        <is>
          <t>—</t>
        </is>
      </c>
    </row>
    <row r="13" ht="34" customHeight="1">
      <c r="A13" s="24" t="inlineStr">
        <is>
          <t>LGN-012</t>
        </is>
      </c>
      <c r="B13" s="25" t="inlineStr">
        <is>
          <t>Login modal</t>
        </is>
      </c>
      <c r="C13" s="25" t="inlineStr">
        <is>
          <t>Modal can be dismissed by clicking the backdrop</t>
        </is>
      </c>
      <c r="D13" s="25" t="inlineStr">
        <is>
          <t>Functional</t>
        </is>
      </c>
      <c r="E13" s="25" t="inlineStr">
        <is>
          <t>P2</t>
        </is>
      </c>
      <c r="F13" s="25" t="inlineStr">
        <is>
          <t>Login modal is open</t>
        </is>
      </c>
      <c r="G13" s="25" t="inlineStr">
        <is>
          <t>1. Open the login modal
2. Click outside the modal, on the backdrop</t>
        </is>
      </c>
      <c r="H13" s="25" t="inlineStr">
        <is>
          <t>-</t>
        </is>
      </c>
      <c r="I13" s="25" t="inlineStr">
        <is>
          <t>Modal closes and the user remains logged out</t>
        </is>
      </c>
      <c r="J13" s="29" t="inlineStr">
        <is>
          <t>No</t>
        </is>
      </c>
      <c r="K13" s="25" t="inlineStr">
        <is>
          <t>—</t>
        </is>
      </c>
      <c r="L13" s="25" t="inlineStr">
        <is>
          <t>—</t>
        </is>
      </c>
    </row>
    <row r="14" ht="48" customHeight="1">
      <c r="A14" s="21" t="inlineStr">
        <is>
          <t>LGN-013</t>
        </is>
      </c>
      <c r="B14" s="22" t="inlineStr">
        <is>
          <t>Login modal</t>
        </is>
      </c>
      <c r="C14" s="22" t="inlineStr">
        <is>
          <t>Re-opened modal does not retain the previous entry</t>
        </is>
      </c>
      <c r="D14" s="22" t="inlineStr">
        <is>
          <t>Edge case</t>
        </is>
      </c>
      <c r="E14" s="22" t="inlineStr">
        <is>
          <t>P1</t>
        </is>
      </c>
      <c r="F14" s="22" t="inlineStr">
        <is>
          <t>A user has logged in and then out on the same browser</t>
        </is>
      </c>
      <c r="G14" s="22" t="inlineStr">
        <is>
          <t>1. Log in
2. Log out
3. Click 'Log in' again</t>
        </is>
      </c>
      <c r="H14" s="22" t="inlineStr">
        <is>
          <t>-</t>
        </is>
      </c>
      <c r="I14" s="22" t="inlineStr">
        <is>
          <t>Username and password fields are both empty — the previous account's name is not exposed to the next user of the machine</t>
        </is>
      </c>
      <c r="J14" s="23" t="inlineStr">
        <is>
          <t>Yes</t>
        </is>
      </c>
      <c r="K14" s="22" t="inlineStr">
        <is>
          <t>tests/ui/login/login.spec.ts › re-opening the modal after logout starts empty</t>
        </is>
      </c>
      <c r="L14" s="22" t="inlineStr">
        <is>
          <t>—</t>
        </is>
      </c>
    </row>
    <row r="15" ht="34" customHeight="1">
      <c r="A15" s="24" t="inlineStr">
        <is>
          <t>LGN-014</t>
        </is>
      </c>
      <c r="B15" s="25" t="inlineStr">
        <is>
          <t>Login modal</t>
        </is>
      </c>
      <c r="C15" s="25" t="inlineStr">
        <is>
          <t>Password input masks the entered value</t>
        </is>
      </c>
      <c r="D15" s="25" t="inlineStr">
        <is>
          <t>Functional</t>
        </is>
      </c>
      <c r="E15" s="25" t="inlineStr">
        <is>
          <t>P1</t>
        </is>
      </c>
      <c r="F15" s="25" t="inlineStr">
        <is>
          <t>Login modal is open</t>
        </is>
      </c>
      <c r="G15" s="25" t="inlineStr">
        <is>
          <t>1. Type a password into the Password field
2. Observe the field</t>
        </is>
      </c>
      <c r="H15" s="25" t="inlineStr">
        <is>
          <t>password: Passw0rd!QA</t>
        </is>
      </c>
      <c r="I15" s="25" t="inlineStr">
        <is>
          <t>Characters are masked (input type=password); the plain value is not visible on screen</t>
        </is>
      </c>
      <c r="J15" s="29" t="inlineStr">
        <is>
          <t>No</t>
        </is>
      </c>
      <c r="K15" s="25" t="inlineStr">
        <is>
          <t>—</t>
        </is>
      </c>
      <c r="L15" s="25" t="inlineStr">
        <is>
          <t>—</t>
        </is>
      </c>
    </row>
    <row r="16" ht="48" customHeight="1">
      <c r="A16" s="21" t="inlineStr">
        <is>
          <t>LGN-015</t>
        </is>
      </c>
      <c r="B16" s="22" t="inlineStr">
        <is>
          <t>Login modal</t>
        </is>
      </c>
      <c r="C16" s="22" t="inlineStr">
        <is>
          <t>Failed login leaves the modal open for a retry</t>
        </is>
      </c>
      <c r="D16" s="22" t="inlineStr">
        <is>
          <t>Functional</t>
        </is>
      </c>
      <c r="E16" s="22" t="inlineStr">
        <is>
          <t>P1</t>
        </is>
      </c>
      <c r="F16" s="22" t="inlineStr">
        <is>
          <t>A registered account exists</t>
        </is>
      </c>
      <c r="G16" s="22" t="inlineStr">
        <is>
          <t>1. Open the login modal
2. Submit a wrong password
3. Dismiss the alert</t>
        </is>
      </c>
      <c r="H16" s="22" t="inlineStr">
        <is>
          <t>username: &lt;valid user&gt;
password: wrong-password</t>
        </is>
      </c>
      <c r="I16" s="22" t="inlineStr">
        <is>
          <t>The modal remains open with the entered values so the user can correct them without re-opening it</t>
        </is>
      </c>
      <c r="J16" s="23" t="inlineStr">
        <is>
          <t>Yes</t>
        </is>
      </c>
      <c r="K16" s="22" t="inlineStr">
        <is>
          <t>tests/ui/login/login.negative.spec.ts › rejects a wrong password</t>
        </is>
      </c>
      <c r="L16" s="22" t="inlineStr">
        <is>
          <t>—</t>
        </is>
      </c>
    </row>
    <row r="17" ht="48" customHeight="1">
      <c r="A17" s="24" t="inlineStr">
        <is>
          <t>LGN-016</t>
        </is>
      </c>
      <c r="B17" s="25" t="inlineStr">
        <is>
          <t>Login modal</t>
        </is>
      </c>
      <c r="C17" s="25" t="inlineStr">
        <is>
          <t>Enter key does not submit the login form</t>
        </is>
      </c>
      <c r="D17" s="25" t="inlineStr">
        <is>
          <t>Edge case</t>
        </is>
      </c>
      <c r="E17" s="25" t="inlineStr">
        <is>
          <t>P2</t>
        </is>
      </c>
      <c r="F17" s="25" t="inlineStr">
        <is>
          <t>Login modal is open with valid credentials entered</t>
        </is>
      </c>
      <c r="G17" s="25" t="inlineStr">
        <is>
          <t>1. Enter valid credentials
2. Press Enter instead of clicking 'Log in'</t>
        </is>
      </c>
      <c r="H17" s="25" t="inlineStr">
        <is>
          <t>username: &lt;valid user&gt;
password: &lt;valid password&gt;</t>
        </is>
      </c>
      <c r="I17" s="25" t="inlineStr">
        <is>
          <t>Documented current behaviour: nothing happens — the form has no submit handler bound to Enter. Usability gap, raise as an improvement</t>
        </is>
      </c>
      <c r="J17" s="29" t="inlineStr">
        <is>
          <t>No</t>
        </is>
      </c>
      <c r="K17" s="25" t="inlineStr">
        <is>
          <t>—</t>
        </is>
      </c>
      <c r="L17" s="31" t="inlineStr">
        <is>
          <t>DEMO-10</t>
        </is>
      </c>
    </row>
    <row r="18" ht="34" customHeight="1">
      <c r="A18" s="21" t="inlineStr">
        <is>
          <t>LGN-017</t>
        </is>
      </c>
      <c r="B18" s="22" t="inlineStr">
        <is>
          <t>Header state</t>
        </is>
      </c>
      <c r="C18" s="22" t="inlineStr">
        <is>
          <t>Welcome label shows the exact username</t>
        </is>
      </c>
      <c r="D18" s="22" t="inlineStr">
        <is>
          <t>Functional</t>
        </is>
      </c>
      <c r="E18" s="22" t="inlineStr">
        <is>
          <t>P2</t>
        </is>
      </c>
      <c r="F18" s="22" t="inlineStr">
        <is>
          <t>A registered account exists</t>
        </is>
      </c>
      <c r="G18" s="22" t="inlineStr">
        <is>
          <t>1. Log in with a known username</t>
        </is>
      </c>
      <c r="H18" s="22" t="inlineStr">
        <is>
          <t>username: pw_a1b2c3d4</t>
        </is>
      </c>
      <c r="I18" s="22" t="inlineStr">
        <is>
          <t>Header reads exactly 'Welcome pw_a1b2c3d4' — no truncation, no case change</t>
        </is>
      </c>
      <c r="J18" s="23" t="inlineStr">
        <is>
          <t>Yes</t>
        </is>
      </c>
      <c r="K18" s="22" t="inlineStr">
        <is>
          <t>tests/ui/login/login.spec.ts › logs in with valid credentials</t>
        </is>
      </c>
      <c r="L18" s="22" t="inlineStr">
        <is>
          <t>—</t>
        </is>
      </c>
    </row>
    <row r="19" ht="48" customHeight="1">
      <c r="A19" s="24" t="inlineStr">
        <is>
          <t>LGN-018</t>
        </is>
      </c>
      <c r="B19" s="25" t="inlineStr">
        <is>
          <t>Registration</t>
        </is>
      </c>
      <c r="C19" s="25" t="inlineStr">
        <is>
          <t>A new account can be registered</t>
        </is>
      </c>
      <c r="D19" s="25" t="inlineStr">
        <is>
          <t>Functional</t>
        </is>
      </c>
      <c r="E19" s="26" t="inlineStr">
        <is>
          <t>P0</t>
        </is>
      </c>
      <c r="F19" s="25" t="inlineStr">
        <is>
          <t>Username is not already taken</t>
        </is>
      </c>
      <c r="G19" s="25" t="inlineStr">
        <is>
          <t>1. Click 'Sign up'
2. Enter a new username and password
3. Click 'Sign up'</t>
        </is>
      </c>
      <c r="H19" s="25" t="inlineStr">
        <is>
          <t>username: &lt;unique&gt;
password: Passw0rd!QA</t>
        </is>
      </c>
      <c r="I19" s="25" t="inlineStr">
        <is>
          <t>'Sign up successful.' is shown and the account can immediately be used to log in</t>
        </is>
      </c>
      <c r="J19" s="27" t="inlineStr">
        <is>
          <t>Yes</t>
        </is>
      </c>
      <c r="K19" s="25" t="inlineStr">
        <is>
          <t>tests/api/auth.api.spec.ts › registers a new user</t>
        </is>
      </c>
      <c r="L19" s="25" t="inlineStr">
        <is>
          <t>—</t>
        </is>
      </c>
    </row>
    <row r="20" ht="62" customHeight="1">
      <c r="A20" s="21" t="inlineStr">
        <is>
          <t>LGN-019</t>
        </is>
      </c>
      <c r="B20" s="22" t="inlineStr">
        <is>
          <t>Registration</t>
        </is>
      </c>
      <c r="C20" s="22" t="inlineStr">
        <is>
          <t>Registering an existing username is rejected</t>
        </is>
      </c>
      <c r="D20" s="22" t="inlineStr">
        <is>
          <t>Negative</t>
        </is>
      </c>
      <c r="E20" s="22" t="inlineStr">
        <is>
          <t>P1</t>
        </is>
      </c>
      <c r="F20" s="22" t="inlineStr">
        <is>
          <t>An account already exists</t>
        </is>
      </c>
      <c r="G20" s="22" t="inlineStr">
        <is>
          <t>1. Click 'Sign up'
2. Enter an existing username and any password
3. Click 'Sign up'</t>
        </is>
      </c>
      <c r="H20" s="22" t="inlineStr">
        <is>
          <t>username: &lt;existing user&gt;
password: Passw0rd!QA</t>
        </is>
      </c>
      <c r="I20" s="22" t="inlineStr">
        <is>
          <t>'This user already exist.' is shown and no second account is created</t>
        </is>
      </c>
      <c r="J20" s="23" t="inlineStr">
        <is>
          <t>Yes</t>
        </is>
      </c>
      <c r="K20" s="22" t="inlineStr">
        <is>
          <t>tests/api/auth.api.spec.ts › rejects a duplicate registration</t>
        </is>
      </c>
      <c r="L20" s="22" t="inlineStr">
        <is>
          <t>—</t>
        </is>
      </c>
    </row>
    <row r="21" ht="34" customHeight="1">
      <c r="A21" s="24" t="inlineStr">
        <is>
          <t>LGN-020</t>
        </is>
      </c>
      <c r="B21" s="25" t="inlineStr">
        <is>
          <t>Registration</t>
        </is>
      </c>
      <c r="C21" s="25" t="inlineStr">
        <is>
          <t>Registration with empty fields is blocked</t>
        </is>
      </c>
      <c r="D21" s="25" t="inlineStr">
        <is>
          <t>Negative</t>
        </is>
      </c>
      <c r="E21" s="25" t="inlineStr">
        <is>
          <t>P2</t>
        </is>
      </c>
      <c r="F21" s="25" t="inlineStr">
        <is>
          <t>Sign up modal is open</t>
        </is>
      </c>
      <c r="G21" s="25" t="inlineStr">
        <is>
          <t>1. Leave username and password empty
2. Click 'Sign up'</t>
        </is>
      </c>
      <c r="H21" s="25" t="inlineStr">
        <is>
          <t>-</t>
        </is>
      </c>
      <c r="I21" s="25" t="inlineStr">
        <is>
          <t>'Please fill out Username and Password.' is shown and no request is sent</t>
        </is>
      </c>
      <c r="J21" s="29" t="inlineStr">
        <is>
          <t>No</t>
        </is>
      </c>
      <c r="K21" s="25" t="inlineStr">
        <is>
          <t>—</t>
        </is>
      </c>
      <c r="L21" s="25" t="inlineStr">
        <is>
          <t>—</t>
        </is>
      </c>
    </row>
    <row r="22" ht="62" customHeight="1">
      <c r="A22" s="21" t="inlineStr">
        <is>
          <t>LGN-021</t>
        </is>
      </c>
      <c r="B22" s="22" t="inlineStr">
        <is>
          <t>Authentication</t>
        </is>
      </c>
      <c r="C22" s="22" t="inlineStr">
        <is>
          <t>Wrong password is rejected</t>
        </is>
      </c>
      <c r="D22" s="22" t="inlineStr">
        <is>
          <t>Negative</t>
        </is>
      </c>
      <c r="E22" s="28" t="inlineStr">
        <is>
          <t>P0</t>
        </is>
      </c>
      <c r="F22" s="22" t="inlineStr">
        <is>
          <t>A registered account exists</t>
        </is>
      </c>
      <c r="G22" s="22" t="inlineStr">
        <is>
          <t>1. Open the login modal
2. Enter a valid username and an incorrect password
3. Click 'Log in'</t>
        </is>
      </c>
      <c r="H22" s="22" t="inlineStr">
        <is>
          <t>username: &lt;valid user&gt;
password: definitely-wrong</t>
        </is>
      </c>
      <c r="I22" s="22" t="inlineStr">
        <is>
          <t>'Wrong password.' is shown and the user remains logged out</t>
        </is>
      </c>
      <c r="J22" s="23" t="inlineStr">
        <is>
          <t>Yes</t>
        </is>
      </c>
      <c r="K22" s="22" t="inlineStr">
        <is>
          <t>tests/ui/login/login.negative.spec.ts › rejects a wrong password</t>
        </is>
      </c>
      <c r="L22" s="22" t="inlineStr">
        <is>
          <t>—</t>
        </is>
      </c>
    </row>
    <row r="23" ht="62" customHeight="1">
      <c r="A23" s="24" t="inlineStr">
        <is>
          <t>LGN-022</t>
        </is>
      </c>
      <c r="B23" s="25" t="inlineStr">
        <is>
          <t>Authentication</t>
        </is>
      </c>
      <c r="C23" s="25" t="inlineStr">
        <is>
          <t>Unknown username is rejected</t>
        </is>
      </c>
      <c r="D23" s="25" t="inlineStr">
        <is>
          <t>Negative</t>
        </is>
      </c>
      <c r="E23" s="26" t="inlineStr">
        <is>
          <t>P0</t>
        </is>
      </c>
      <c r="F23" s="25" t="inlineStr">
        <is>
          <t>The username does not exist</t>
        </is>
      </c>
      <c r="G23" s="25" t="inlineStr">
        <is>
          <t>1. Open the login modal
2. Enter a username that was never registered
3. Click 'Log in'</t>
        </is>
      </c>
      <c r="H23" s="25" t="inlineStr">
        <is>
          <t>username: ghost_9f2a1c
password: Passw0rd!QA</t>
        </is>
      </c>
      <c r="I23" s="25" t="inlineStr">
        <is>
          <t>'User does not exist.' is shown and the user remains logged out</t>
        </is>
      </c>
      <c r="J23" s="27" t="inlineStr">
        <is>
          <t>Yes</t>
        </is>
      </c>
      <c r="K23" s="25" t="inlineStr">
        <is>
          <t>tests/ui/login/login.negative.spec.ts › rejects an unknown username</t>
        </is>
      </c>
      <c r="L23" s="25" t="inlineStr">
        <is>
          <t>—</t>
        </is>
      </c>
    </row>
    <row r="24" ht="34" customHeight="1">
      <c r="A24" s="21" t="inlineStr">
        <is>
          <t>LGN-023</t>
        </is>
      </c>
      <c r="B24" s="22" t="inlineStr">
        <is>
          <t>Validation</t>
        </is>
      </c>
      <c r="C24" s="22" t="inlineStr">
        <is>
          <t>Both fields empty is blocked client-side</t>
        </is>
      </c>
      <c r="D24" s="22" t="inlineStr">
        <is>
          <t>Negative</t>
        </is>
      </c>
      <c r="E24" s="22" t="inlineStr">
        <is>
          <t>P1</t>
        </is>
      </c>
      <c r="F24" s="22" t="inlineStr">
        <is>
          <t>Login modal is open</t>
        </is>
      </c>
      <c r="G24" s="22" t="inlineStr">
        <is>
          <t>1. Leave both fields empty
2. Click 'Log in'</t>
        </is>
      </c>
      <c r="H24" s="22" t="inlineStr">
        <is>
          <t>-</t>
        </is>
      </c>
      <c r="I24" s="22" t="inlineStr">
        <is>
          <t>'Please fill out Username and Password.' is shown; no login request reaches the API</t>
        </is>
      </c>
      <c r="J24" s="23" t="inlineStr">
        <is>
          <t>Yes</t>
        </is>
      </c>
      <c r="K24" s="22" t="inlineStr">
        <is>
          <t>tests/ui/login/login.negative.spec.ts › blocks submission when both fields are empty</t>
        </is>
      </c>
      <c r="L24" s="22" t="inlineStr">
        <is>
          <t>—</t>
        </is>
      </c>
    </row>
    <row r="25" ht="48" customHeight="1">
      <c r="A25" s="24" t="inlineStr">
        <is>
          <t>LGN-024</t>
        </is>
      </c>
      <c r="B25" s="25" t="inlineStr">
        <is>
          <t>Validation</t>
        </is>
      </c>
      <c r="C25" s="25" t="inlineStr">
        <is>
          <t>Empty password is blocked</t>
        </is>
      </c>
      <c r="D25" s="25" t="inlineStr">
        <is>
          <t>Negative</t>
        </is>
      </c>
      <c r="E25" s="25" t="inlineStr">
        <is>
          <t>P1</t>
        </is>
      </c>
      <c r="F25" s="25" t="inlineStr">
        <is>
          <t>A registered account exists</t>
        </is>
      </c>
      <c r="G25" s="25" t="inlineStr">
        <is>
          <t>1. Enter a valid username
2. Leave the password empty
3. Click 'Log in'</t>
        </is>
      </c>
      <c r="H25" s="25" t="inlineStr">
        <is>
          <t>username: &lt;valid user&gt;
password: (empty)</t>
        </is>
      </c>
      <c r="I25" s="25" t="inlineStr">
        <is>
          <t>'Please fill out Username and Password.' is shown and the user remains logged out</t>
        </is>
      </c>
      <c r="J25" s="27" t="inlineStr">
        <is>
          <t>Yes</t>
        </is>
      </c>
      <c r="K25" s="25" t="inlineStr">
        <is>
          <t>tests/ui/login/login.negative.spec.ts › blocks submission when only the password is missing</t>
        </is>
      </c>
      <c r="L25" s="25" t="inlineStr">
        <is>
          <t>—</t>
        </is>
      </c>
    </row>
    <row r="26" ht="48" customHeight="1">
      <c r="A26" s="21" t="inlineStr">
        <is>
          <t>LGN-025</t>
        </is>
      </c>
      <c r="B26" s="22" t="inlineStr">
        <is>
          <t>Validation</t>
        </is>
      </c>
      <c r="C26" s="22" t="inlineStr">
        <is>
          <t>Empty username is blocked in the UI</t>
        </is>
      </c>
      <c r="D26" s="22" t="inlineStr">
        <is>
          <t>Negative</t>
        </is>
      </c>
      <c r="E26" s="22" t="inlineStr">
        <is>
          <t>P1</t>
        </is>
      </c>
      <c r="F26" s="22" t="inlineStr">
        <is>
          <t>Login modal is open</t>
        </is>
      </c>
      <c r="G26" s="22" t="inlineStr">
        <is>
          <t>1. Leave the username empty
2. Enter any password
3. Click 'Log in'</t>
        </is>
      </c>
      <c r="H26" s="22" t="inlineStr">
        <is>
          <t>username: (empty)
password: Passw0rd!QA</t>
        </is>
      </c>
      <c r="I26" s="22" t="inlineStr">
        <is>
          <t>'Please fill out Username and Password.' is shown. Note the API itself returns HTTP 500 for this input (DEMO-2) — the UI guard is the only thing preventing it</t>
        </is>
      </c>
      <c r="J26" s="23" t="inlineStr">
        <is>
          <t>Yes</t>
        </is>
      </c>
      <c r="K26" s="22" t="inlineStr">
        <is>
          <t>tests/api/auth.api.spec.ts › rejects a login with an empty username</t>
        </is>
      </c>
      <c r="L26" s="31" t="inlineStr">
        <is>
          <t>DEMO-2</t>
        </is>
      </c>
    </row>
    <row r="27" ht="48" customHeight="1">
      <c r="A27" s="24" t="inlineStr">
        <is>
          <t>LGN-026</t>
        </is>
      </c>
      <c r="B27" s="25" t="inlineStr">
        <is>
          <t>Validation</t>
        </is>
      </c>
      <c r="C27" s="25" t="inlineStr">
        <is>
          <t>Whitespace-only username is not treated as empty</t>
        </is>
      </c>
      <c r="D27" s="25" t="inlineStr">
        <is>
          <t>Edge case</t>
        </is>
      </c>
      <c r="E27" s="25" t="inlineStr">
        <is>
          <t>P2</t>
        </is>
      </c>
      <c r="F27" s="25" t="inlineStr">
        <is>
          <t>Login modal is open</t>
        </is>
      </c>
      <c r="G27" s="25" t="inlineStr">
        <is>
          <t>1. Enter spaces only as the username
2. Enter a valid password
3. Click 'Log in'</t>
        </is>
      </c>
      <c r="H27" s="25" t="inlineStr">
        <is>
          <t>username: '   '
password: Passw0rd!QA</t>
        </is>
      </c>
      <c r="I27" s="25" t="inlineStr">
        <is>
          <t>The client-side guard checks for an empty string only, so the request is sent and 'User does not exist.' is returned</t>
        </is>
      </c>
      <c r="J27" s="29" t="inlineStr">
        <is>
          <t>No</t>
        </is>
      </c>
      <c r="K27" s="25" t="inlineStr">
        <is>
          <t>—</t>
        </is>
      </c>
      <c r="L27" s="25" t="inlineStr">
        <is>
          <t>—</t>
        </is>
      </c>
    </row>
    <row r="28" ht="48" customHeight="1">
      <c r="A28" s="21" t="inlineStr">
        <is>
          <t>LGN-027</t>
        </is>
      </c>
      <c r="B28" s="22" t="inlineStr">
        <is>
          <t>Authentication</t>
        </is>
      </c>
      <c r="C28" s="22" t="inlineStr">
        <is>
          <t>Username is case-sensitive</t>
        </is>
      </c>
      <c r="D28" s="22" t="inlineStr">
        <is>
          <t>Edge case</t>
        </is>
      </c>
      <c r="E28" s="22" t="inlineStr">
        <is>
          <t>P1</t>
        </is>
      </c>
      <c r="F28" s="22" t="inlineStr">
        <is>
          <t>A registered lowercase account exists</t>
        </is>
      </c>
      <c r="G28" s="22" t="inlineStr">
        <is>
          <t>1. Enter the username in UPPERCASE
2. Enter the correct password
3. Click 'Log in'</t>
        </is>
      </c>
      <c r="H28" s="22" t="inlineStr">
        <is>
          <t>username: PW_A1B2C3D4
password: &lt;valid password&gt;</t>
        </is>
      </c>
      <c r="I28" s="22" t="inlineStr">
        <is>
          <t>'User does not exist.' — usernames are matched case-sensitively</t>
        </is>
      </c>
      <c r="J28" s="23" t="inlineStr">
        <is>
          <t>Yes</t>
        </is>
      </c>
      <c r="K28" s="22" t="inlineStr">
        <is>
          <t>tests/ui/login/login.negative.spec.ts › treats the username as case-sensitive</t>
        </is>
      </c>
      <c r="L28" s="22" t="inlineStr">
        <is>
          <t>—</t>
        </is>
      </c>
    </row>
    <row r="29" ht="48" customHeight="1">
      <c r="A29" s="24" t="inlineStr">
        <is>
          <t>LGN-028</t>
        </is>
      </c>
      <c r="B29" s="25" t="inlineStr">
        <is>
          <t>Authentication</t>
        </is>
      </c>
      <c r="C29" s="25" t="inlineStr">
        <is>
          <t>Password is case-sensitive</t>
        </is>
      </c>
      <c r="D29" s="25" t="inlineStr">
        <is>
          <t>Edge case</t>
        </is>
      </c>
      <c r="E29" s="25" t="inlineStr">
        <is>
          <t>P1</t>
        </is>
      </c>
      <c r="F29" s="25" t="inlineStr">
        <is>
          <t>A registered account exists</t>
        </is>
      </c>
      <c r="G29" s="25" t="inlineStr">
        <is>
          <t>1. Enter a valid username
2. Enter the password with inverted case
3. Click 'Log in'</t>
        </is>
      </c>
      <c r="H29" s="25" t="inlineStr">
        <is>
          <t>username: &lt;valid user&gt;
password: pASSW0RD!qa</t>
        </is>
      </c>
      <c r="I29" s="25" t="inlineStr">
        <is>
          <t>'Wrong password.' — passwords are matched case-sensitively</t>
        </is>
      </c>
      <c r="J29" s="29" t="inlineStr">
        <is>
          <t>No</t>
        </is>
      </c>
      <c r="K29" s="25" t="inlineStr">
        <is>
          <t>—</t>
        </is>
      </c>
      <c r="L29" s="25" t="inlineStr">
        <is>
          <t>—</t>
        </is>
      </c>
    </row>
    <row r="30" ht="62" customHeight="1">
      <c r="A30" s="21" t="inlineStr">
        <is>
          <t>LGN-029</t>
        </is>
      </c>
      <c r="B30" s="22" t="inlineStr">
        <is>
          <t>Authentication</t>
        </is>
      </c>
      <c r="C30" s="22" t="inlineStr">
        <is>
          <t>Surrounding whitespace in the username is not trimmed</t>
        </is>
      </c>
      <c r="D30" s="22" t="inlineStr">
        <is>
          <t>Edge case</t>
        </is>
      </c>
      <c r="E30" s="22" t="inlineStr">
        <is>
          <t>P2</t>
        </is>
      </c>
      <c r="F30" s="22" t="inlineStr">
        <is>
          <t>A registered account exists</t>
        </is>
      </c>
      <c r="G30" s="22" t="inlineStr">
        <is>
          <t>1. Enter the valid username padded with leading and trailing spaces
2. Enter the correct password
3. Click 'Log in'</t>
        </is>
      </c>
      <c r="H30" s="22" t="inlineStr">
        <is>
          <t>username: '  pw_a1b2c3d4  '
password: &lt;valid password&gt;</t>
        </is>
      </c>
      <c r="I30" s="22" t="inlineStr">
        <is>
          <t>'User does not exist.' — the input is not trimmed. Pinned as current behaviour so a future change is a deliberate decision</t>
        </is>
      </c>
      <c r="J30" s="23" t="inlineStr">
        <is>
          <t>Yes</t>
        </is>
      </c>
      <c r="K30" s="22" t="inlineStr">
        <is>
          <t>tests/ui/login/login.negative.spec.ts › does not trim surrounding whitespace in the username</t>
        </is>
      </c>
      <c r="L30" s="22" t="inlineStr">
        <is>
          <t>—</t>
        </is>
      </c>
    </row>
    <row r="31" ht="48" customHeight="1">
      <c r="A31" s="24" t="inlineStr">
        <is>
          <t>LGN-030</t>
        </is>
      </c>
      <c r="B31" s="25" t="inlineStr">
        <is>
          <t>Authentication</t>
        </is>
      </c>
      <c r="C31" s="25" t="inlineStr">
        <is>
          <t>Valid username with another account's password is rejected</t>
        </is>
      </c>
      <c r="D31" s="25" t="inlineStr">
        <is>
          <t>Negative</t>
        </is>
      </c>
      <c r="E31" s="25" t="inlineStr">
        <is>
          <t>P1</t>
        </is>
      </c>
      <c r="F31" s="25" t="inlineStr">
        <is>
          <t>Two registered accounts exist</t>
        </is>
      </c>
      <c r="G31" s="25" t="inlineStr">
        <is>
          <t>1. Enter user A's username
2. Enter user B's password
3. Click 'Log in'</t>
        </is>
      </c>
      <c r="H31" s="25" t="inlineStr">
        <is>
          <t>username: &lt;user A&gt;
password: &lt;user B password&gt;</t>
        </is>
      </c>
      <c r="I31" s="25" t="inlineStr">
        <is>
          <t>'Wrong password.' and no session is created for either account</t>
        </is>
      </c>
      <c r="J31" s="29" t="inlineStr">
        <is>
          <t>No</t>
        </is>
      </c>
      <c r="K31" s="25" t="inlineStr">
        <is>
          <t>—</t>
        </is>
      </c>
      <c r="L31" s="25" t="inlineStr">
        <is>
          <t>—</t>
        </is>
      </c>
    </row>
    <row r="32" ht="62" customHeight="1">
      <c r="A32" s="21" t="inlineStr">
        <is>
          <t>LGN-031</t>
        </is>
      </c>
      <c r="B32" s="22" t="inlineStr">
        <is>
          <t>Security</t>
        </is>
      </c>
      <c r="C32" s="22" t="inlineStr">
        <is>
          <t>Error wording reveals whether an account exists</t>
        </is>
      </c>
      <c r="D32" s="22" t="inlineStr">
        <is>
          <t>Security</t>
        </is>
      </c>
      <c r="E32" s="22" t="inlineStr">
        <is>
          <t>P2</t>
        </is>
      </c>
      <c r="F32" s="22" t="inlineStr">
        <is>
          <t>One registered account exists and one username does not</t>
        </is>
      </c>
      <c r="G32" s="22" t="inlineStr">
        <is>
          <t>1. Attempt login with a valid username and wrong password
2. Attempt login with a username that does not exist</t>
        </is>
      </c>
      <c r="H32" s="22" t="inlineStr">
        <is>
          <t>case 1: &lt;valid user&gt; / wrong
case 2: ghost_9f2a1c / any</t>
        </is>
      </c>
      <c r="I32" s="22" t="inlineStr">
        <is>
          <t>The two attempts return different messages ('Wrong password.' vs 'User does not exist.'), which allows username enumeration. Raised as DEMO-5; expected behaviour is a single generic message</t>
        </is>
      </c>
      <c r="J32" s="23" t="inlineStr">
        <is>
          <t>Yes</t>
        </is>
      </c>
      <c r="K32" s="22" t="inlineStr">
        <is>
          <t>tests/ui/login/login.negative.spec.ts › does not leak whether an account exists through timing or wording</t>
        </is>
      </c>
      <c r="L32" s="31" t="inlineStr">
        <is>
          <t>DEMO-5</t>
        </is>
      </c>
    </row>
    <row r="33" ht="48" customHeight="1">
      <c r="A33" s="24" t="inlineStr">
        <is>
          <t>LGN-032</t>
        </is>
      </c>
      <c r="B33" s="25" t="inlineStr">
        <is>
          <t>Security</t>
        </is>
      </c>
      <c r="C33" s="25" t="inlineStr">
        <is>
          <t>Repeated failed logins are not rate-limited or locked out</t>
        </is>
      </c>
      <c r="D33" s="25" t="inlineStr">
        <is>
          <t>Security</t>
        </is>
      </c>
      <c r="E33" s="25" t="inlineStr">
        <is>
          <t>P1</t>
        </is>
      </c>
      <c r="F33" s="25" t="inlineStr">
        <is>
          <t>A registered account exists</t>
        </is>
      </c>
      <c r="G33" s="25" t="inlineStr">
        <is>
          <t>1. Submit an incorrect password 20 times in a row</t>
        </is>
      </c>
      <c r="H33" s="25" t="inlineStr">
        <is>
          <t>username: &lt;valid user&gt;
password: wrong-&lt;n&gt;</t>
        </is>
      </c>
      <c r="I33" s="25" t="inlineStr">
        <is>
          <t>All 20 attempts are processed with no lockout, delay, CAPTCHA or rate limit — the account is open to brute force. Raise as a finding</t>
        </is>
      </c>
      <c r="J33" s="29" t="inlineStr">
        <is>
          <t>No</t>
        </is>
      </c>
      <c r="K33" s="25" t="inlineStr">
        <is>
          <t>—</t>
        </is>
      </c>
      <c r="L33" s="31" t="inlineStr">
        <is>
          <t>DEMO-11</t>
        </is>
      </c>
    </row>
    <row r="34" ht="62" customHeight="1">
      <c r="A34" s="21" t="inlineStr">
        <is>
          <t>LGN-033</t>
        </is>
      </c>
      <c r="B34" s="22" t="inlineStr">
        <is>
          <t>Security</t>
        </is>
      </c>
      <c r="C34" s="22" t="inlineStr">
        <is>
          <t>SQL injection payload in the username is handled as literal text</t>
        </is>
      </c>
      <c r="D34" s="22" t="inlineStr">
        <is>
          <t>Security</t>
        </is>
      </c>
      <c r="E34" s="22" t="inlineStr">
        <is>
          <t>P1</t>
        </is>
      </c>
      <c r="F34" s="22" t="inlineStr">
        <is>
          <t>Login modal is open</t>
        </is>
      </c>
      <c r="G34" s="22" t="inlineStr">
        <is>
          <t>1. Enter a SQL injection payload as the username
2. Enter any password
3. Click 'Log in'</t>
        </is>
      </c>
      <c r="H34" s="22" t="inlineStr">
        <is>
          <t>username: ' OR '1'='1
password: anything</t>
        </is>
      </c>
      <c r="I34" s="22" t="inlineStr">
        <is>
          <t>Login fails with 'User does not exist.'; no authentication bypass, no server error, no SQL error surfaced</t>
        </is>
      </c>
      <c r="J34" s="30" t="inlineStr">
        <is>
          <t>No</t>
        </is>
      </c>
      <c r="K34" s="22" t="inlineStr">
        <is>
          <t>—</t>
        </is>
      </c>
      <c r="L34" s="22" t="inlineStr">
        <is>
          <t>—</t>
        </is>
      </c>
    </row>
    <row r="35" ht="48" customHeight="1">
      <c r="A35" s="24" t="inlineStr">
        <is>
          <t>LGN-034</t>
        </is>
      </c>
      <c r="B35" s="25" t="inlineStr">
        <is>
          <t>Security</t>
        </is>
      </c>
      <c r="C35" s="25" t="inlineStr">
        <is>
          <t>XSS payload in the username is not executed</t>
        </is>
      </c>
      <c r="D35" s="25" t="inlineStr">
        <is>
          <t>Security</t>
        </is>
      </c>
      <c r="E35" s="25" t="inlineStr">
        <is>
          <t>P1</t>
        </is>
      </c>
      <c r="F35" s="25" t="inlineStr">
        <is>
          <t>Login modal is open</t>
        </is>
      </c>
      <c r="G35" s="25" t="inlineStr">
        <is>
          <t>1. Enter a script payload as the username
2. Submit
3. Observe the alert and the page</t>
        </is>
      </c>
      <c r="H35" s="25" t="inlineStr">
        <is>
          <t>username: &lt;script&gt;alert(1)&lt;/script&gt;
password: anything</t>
        </is>
      </c>
      <c r="I35" s="25" t="inlineStr">
        <is>
          <t>The payload is treated as text; no script executes and nothing is rendered as HTML in the error message or the welcome label</t>
        </is>
      </c>
      <c r="J35" s="29" t="inlineStr">
        <is>
          <t>No</t>
        </is>
      </c>
      <c r="K35" s="25" t="inlineStr">
        <is>
          <t>—</t>
        </is>
      </c>
      <c r="L35" s="25" t="inlineStr">
        <is>
          <t>—</t>
        </is>
      </c>
    </row>
    <row r="36" ht="48" customHeight="1">
      <c r="A36" s="21" t="inlineStr">
        <is>
          <t>LGN-035</t>
        </is>
      </c>
      <c r="B36" s="22" t="inlineStr">
        <is>
          <t>Boundary</t>
        </is>
      </c>
      <c r="C36" s="22" t="inlineStr">
        <is>
          <t>Very long username is handled without a crash</t>
        </is>
      </c>
      <c r="D36" s="22" t="inlineStr">
        <is>
          <t>Edge case</t>
        </is>
      </c>
      <c r="E36" s="22" t="inlineStr">
        <is>
          <t>P2</t>
        </is>
      </c>
      <c r="F36" s="22" t="inlineStr">
        <is>
          <t>Login modal is open</t>
        </is>
      </c>
      <c r="G36" s="22" t="inlineStr">
        <is>
          <t>1. Enter a 256-character username
2. Enter any password
3. Click 'Log in'</t>
        </is>
      </c>
      <c r="H36" s="22" t="inlineStr">
        <is>
          <t>username: 'A' x 256
password: Passw0rd!QA</t>
        </is>
      </c>
      <c r="I36" s="22" t="inlineStr">
        <is>
          <t>The request is handled gracefully — a normal 'User does not exist.' error, no 500 and no unhandled client error</t>
        </is>
      </c>
      <c r="J36" s="30" t="inlineStr">
        <is>
          <t>No</t>
        </is>
      </c>
      <c r="K36" s="22" t="inlineStr">
        <is>
          <t>—</t>
        </is>
      </c>
      <c r="L36" s="22" t="inlineStr">
        <is>
          <t>—</t>
        </is>
      </c>
    </row>
    <row r="37" ht="48" customHeight="1">
      <c r="A37" s="24" t="inlineStr">
        <is>
          <t>LGN-036</t>
        </is>
      </c>
      <c r="B37" s="25" t="inlineStr">
        <is>
          <t>Boundary</t>
        </is>
      </c>
      <c r="C37" s="25" t="inlineStr">
        <is>
          <t>Single-character credentials are accepted for registration and login</t>
        </is>
      </c>
      <c r="D37" s="25" t="inlineStr">
        <is>
          <t>Edge case</t>
        </is>
      </c>
      <c r="E37" s="25" t="inlineStr">
        <is>
          <t>P2</t>
        </is>
      </c>
      <c r="F37" s="25" t="inlineStr">
        <is>
          <t>Username is available</t>
        </is>
      </c>
      <c r="G37" s="25" t="inlineStr">
        <is>
          <t>1. Register with a 1-character username and 1-character password
2. Log in with them</t>
        </is>
      </c>
      <c r="H37" s="25" t="inlineStr">
        <is>
          <t>username: a
password: b</t>
        </is>
      </c>
      <c r="I37" s="25" t="inlineStr">
        <is>
          <t>Documented behaviour: there is no minimum length policy. Flag the absence of a password policy as a finding</t>
        </is>
      </c>
      <c r="J37" s="29" t="inlineStr">
        <is>
          <t>No</t>
        </is>
      </c>
      <c r="K37" s="25" t="inlineStr">
        <is>
          <t>—</t>
        </is>
      </c>
      <c r="L37" s="31" t="inlineStr">
        <is>
          <t>DEMO-12</t>
        </is>
      </c>
    </row>
    <row r="38" ht="48" customHeight="1">
      <c r="A38" s="21" t="inlineStr">
        <is>
          <t>LGN-037</t>
        </is>
      </c>
      <c r="B38" s="22" t="inlineStr">
        <is>
          <t>Internationalisation</t>
        </is>
      </c>
      <c r="C38" s="22" t="inlineStr">
        <is>
          <t>Unicode username round-trips correctly</t>
        </is>
      </c>
      <c r="D38" s="22" t="inlineStr">
        <is>
          <t>Edge case</t>
        </is>
      </c>
      <c r="E38" s="22" t="inlineStr">
        <is>
          <t>P2</t>
        </is>
      </c>
      <c r="F38" s="22" t="inlineStr">
        <is>
          <t>Username is available</t>
        </is>
      </c>
      <c r="G38" s="22" t="inlineStr">
        <is>
          <t>1. Register with a Unicode username
2. Log in with it
3. Observe the welcome label</t>
        </is>
      </c>
      <c r="H38" s="22" t="inlineStr">
        <is>
          <t>username: nguyễn_山田
password: Passw0rd!QA</t>
        </is>
      </c>
      <c r="I38" s="22" t="inlineStr">
        <is>
          <t>Registration and login succeed and the welcome label renders the username without mojibake</t>
        </is>
      </c>
      <c r="J38" s="30" t="inlineStr">
        <is>
          <t>No</t>
        </is>
      </c>
      <c r="K38" s="22" t="inlineStr">
        <is>
          <t>—</t>
        </is>
      </c>
      <c r="L38" s="22" t="inlineStr">
        <is>
          <t>—</t>
        </is>
      </c>
    </row>
    <row r="39" ht="48" customHeight="1">
      <c r="A39" s="24" t="inlineStr">
        <is>
          <t>LGN-038</t>
        </is>
      </c>
      <c r="B39" s="25" t="inlineStr">
        <is>
          <t>Boundary</t>
        </is>
      </c>
      <c r="C39" s="25" t="inlineStr">
        <is>
          <t>Password containing special characters works</t>
        </is>
      </c>
      <c r="D39" s="25" t="inlineStr">
        <is>
          <t>Edge case</t>
        </is>
      </c>
      <c r="E39" s="25" t="inlineStr">
        <is>
          <t>P2</t>
        </is>
      </c>
      <c r="F39" s="25" t="inlineStr">
        <is>
          <t>Username is available</t>
        </is>
      </c>
      <c r="G39" s="25" t="inlineStr">
        <is>
          <t>1. Register with a password of special characters
2. Log in with it</t>
        </is>
      </c>
      <c r="H39" s="25" t="inlineStr">
        <is>
          <t>password: !@#$%^&amp;*()_+{}|:"&lt;&gt;?</t>
        </is>
      </c>
      <c r="I39" s="25" t="inlineStr">
        <is>
          <t>Registration and login both succeed — base64 encoding of the password does not corrupt the value</t>
        </is>
      </c>
      <c r="J39" s="29" t="inlineStr">
        <is>
          <t>No</t>
        </is>
      </c>
      <c r="K39" s="25" t="inlineStr">
        <is>
          <t>—</t>
        </is>
      </c>
      <c r="L39" s="25" t="inlineStr">
        <is>
          <t>—</t>
        </is>
      </c>
    </row>
    <row r="40" ht="48" customHeight="1">
      <c r="A40" s="21" t="inlineStr">
        <is>
          <t>LGN-039</t>
        </is>
      </c>
      <c r="B40" s="22" t="inlineStr">
        <is>
          <t>Session</t>
        </is>
      </c>
      <c r="C40" s="22" t="inlineStr">
        <is>
          <t>Clearing the session cookie logs the user out</t>
        </is>
      </c>
      <c r="D40" s="22" t="inlineStr">
        <is>
          <t>Edge case</t>
        </is>
      </c>
      <c r="E40" s="22" t="inlineStr">
        <is>
          <t>P2</t>
        </is>
      </c>
      <c r="F40" s="22" t="inlineStr">
        <is>
          <t>User is logged in</t>
        </is>
      </c>
      <c r="G40" s="22" t="inlineStr">
        <is>
          <t>1. Log in
2. Delete the 'tokenp_' cookie via devtools
3. Reload the page</t>
        </is>
      </c>
      <c r="H40" s="22" t="inlineStr">
        <is>
          <t>-</t>
        </is>
      </c>
      <c r="I40" s="22" t="inlineStr">
        <is>
          <t>The page renders in the anonymous state; no stale authenticated UI is shown</t>
        </is>
      </c>
      <c r="J40" s="30" t="inlineStr">
        <is>
          <t>No</t>
        </is>
      </c>
      <c r="K40" s="22" t="inlineStr">
        <is>
          <t>—</t>
        </is>
      </c>
      <c r="L40" s="22" t="inlineStr">
        <is>
          <t>—</t>
        </is>
      </c>
    </row>
    <row r="41" ht="62" customHeight="1">
      <c r="A41" s="24" t="inlineStr">
        <is>
          <t>LGN-040</t>
        </is>
      </c>
      <c r="B41" s="25" t="inlineStr">
        <is>
          <t>Session</t>
        </is>
      </c>
      <c r="C41" s="25" t="inlineStr">
        <is>
          <t>Malformed auth token is rejected</t>
        </is>
      </c>
      <c r="D41" s="25" t="inlineStr">
        <is>
          <t>Negative</t>
        </is>
      </c>
      <c r="E41" s="25" t="inlineStr">
        <is>
          <t>P1</t>
        </is>
      </c>
      <c r="F41" s="25" t="inlineStr">
        <is>
          <t>User is logged in</t>
        </is>
      </c>
      <c r="G41" s="25" t="inlineStr">
        <is>
          <t>1. Log in
2. Overwrite 'tokenp_' with a malformed value
3. Open the Cart page</t>
        </is>
      </c>
      <c r="H41" s="25" t="inlineStr">
        <is>
          <t>tokenp_: not-a-real-token</t>
        </is>
      </c>
      <c r="I41" s="25" t="inlineStr">
        <is>
          <t>The app reports the bad token rather than exposing another user's data; no cart contents are rendered</t>
        </is>
      </c>
      <c r="J41" s="29" t="inlineStr">
        <is>
          <t>No</t>
        </is>
      </c>
      <c r="K41" s="25" t="inlineStr">
        <is>
          <t>—</t>
        </is>
      </c>
      <c r="L41" s="25" t="inlineStr">
        <is>
          <t>—</t>
        </is>
      </c>
    </row>
    <row r="42" ht="48" customHeight="1">
      <c r="A42" s="21" t="inlineStr">
        <is>
          <t>LGN-041</t>
        </is>
      </c>
      <c r="B42" s="22" t="inlineStr">
        <is>
          <t>Session</t>
        </is>
      </c>
      <c r="C42" s="22" t="inlineStr">
        <is>
          <t>Browser back after logout does not restore the session</t>
        </is>
      </c>
      <c r="D42" s="22" t="inlineStr">
        <is>
          <t>Edge case</t>
        </is>
      </c>
      <c r="E42" s="22" t="inlineStr">
        <is>
          <t>P1</t>
        </is>
      </c>
      <c r="F42" s="22" t="inlineStr">
        <is>
          <t>User has logged in then out</t>
        </is>
      </c>
      <c r="G42" s="22" t="inlineStr">
        <is>
          <t>1. Log in
2. Log out
3. Press the browser Back button</t>
        </is>
      </c>
      <c r="H42" s="22" t="inlineStr">
        <is>
          <t>-</t>
        </is>
      </c>
      <c r="I42" s="22" t="inlineStr">
        <is>
          <t>The restored page shows the anonymous state, not a cached authenticated header</t>
        </is>
      </c>
      <c r="J42" s="30" t="inlineStr">
        <is>
          <t>No</t>
        </is>
      </c>
      <c r="K42" s="22" t="inlineStr">
        <is>
          <t>—</t>
        </is>
      </c>
      <c r="L42" s="22" t="inlineStr">
        <is>
          <t>—</t>
        </is>
      </c>
    </row>
    <row r="43" ht="48" customHeight="1">
      <c r="A43" s="24" t="inlineStr">
        <is>
          <t>LGN-042</t>
        </is>
      </c>
      <c r="B43" s="25" t="inlineStr">
        <is>
          <t>Session</t>
        </is>
      </c>
      <c r="C43" s="25" t="inlineStr">
        <is>
          <t>The same account can be used in two browsers at once</t>
        </is>
      </c>
      <c r="D43" s="25" t="inlineStr">
        <is>
          <t>Edge case</t>
        </is>
      </c>
      <c r="E43" s="25" t="inlineStr">
        <is>
          <t>P2</t>
        </is>
      </c>
      <c r="F43" s="25" t="inlineStr">
        <is>
          <t>A registered account exists</t>
        </is>
      </c>
      <c r="G43" s="25" t="inlineStr">
        <is>
          <t>1. Log in as the account in browser A
2. Log in as the same account in browser B
3. Act in both</t>
        </is>
      </c>
      <c r="H43" s="25" t="inlineStr">
        <is>
          <t>-</t>
        </is>
      </c>
      <c r="I43" s="25" t="inlineStr">
        <is>
          <t>Both sessions remain valid and observe the same server-side cart; neither session invalidates the other</t>
        </is>
      </c>
      <c r="J43" s="29" t="inlineStr">
        <is>
          <t>No</t>
        </is>
      </c>
      <c r="K43" s="25" t="inlineStr">
        <is>
          <t>—</t>
        </is>
      </c>
      <c r="L43" s="25" t="inlineStr">
        <is>
          <t>—</t>
        </is>
      </c>
    </row>
    <row r="44" ht="48" customHeight="1">
      <c r="A44" s="21" t="inlineStr">
        <is>
          <t>LGN-043</t>
        </is>
      </c>
      <c r="B44" s="22" t="inlineStr">
        <is>
          <t>Resilience</t>
        </is>
      </c>
      <c r="C44" s="22" t="inlineStr">
        <is>
          <t>Login failure when the API is unreachable is communicated</t>
        </is>
      </c>
      <c r="D44" s="22" t="inlineStr">
        <is>
          <t>Negative</t>
        </is>
      </c>
      <c r="E44" s="22" t="inlineStr">
        <is>
          <t>P1</t>
        </is>
      </c>
      <c r="F44" s="22" t="inlineStr">
        <is>
          <t>Login modal is open</t>
        </is>
      </c>
      <c r="G44" s="22" t="inlineStr">
        <is>
          <t>1. Block requests to api.demoblaze.com
2. Submit valid credentials</t>
        </is>
      </c>
      <c r="H44" s="22" t="inlineStr">
        <is>
          <t>username: &lt;valid user&gt;
password: &lt;valid password&gt;</t>
        </is>
      </c>
      <c r="I44" s="22" t="inlineStr">
        <is>
          <t>Expected: the user sees an error. Actual: the request fails silently with no feedback and the modal simply stays open. Raise as a finding</t>
        </is>
      </c>
      <c r="J44" s="30" t="inlineStr">
        <is>
          <t>No</t>
        </is>
      </c>
      <c r="K44" s="22" t="inlineStr">
        <is>
          <t>—</t>
        </is>
      </c>
      <c r="L44" s="31" t="inlineStr">
        <is>
          <t>DEMO-13</t>
        </is>
      </c>
    </row>
    <row r="45" ht="48" customHeight="1">
      <c r="A45" s="24" t="inlineStr">
        <is>
          <t>LGN-044</t>
        </is>
      </c>
      <c r="B45" s="25" t="inlineStr">
        <is>
          <t>API</t>
        </is>
      </c>
      <c r="C45" s="25" t="inlineStr">
        <is>
          <t>Authentication failures are returned with HTTP 200</t>
        </is>
      </c>
      <c r="D45" s="25" t="inlineStr">
        <is>
          <t>Negative</t>
        </is>
      </c>
      <c r="E45" s="25" t="inlineStr">
        <is>
          <t>P1</t>
        </is>
      </c>
      <c r="F45" s="25" t="inlineStr">
        <is>
          <t>-</t>
        </is>
      </c>
      <c r="G45" s="25" t="inlineStr">
        <is>
          <t>1. POST /login with a username that does not exist
2. Inspect the HTTP status and body</t>
        </is>
      </c>
      <c r="H45" s="25" t="inlineStr">
        <is>
          <t>{username: 'ghost_x', password: '&lt;base64&gt;'}</t>
        </is>
      </c>
      <c r="I45" s="25" t="inlineStr">
        <is>
          <t>Status is 200 with {errorMessage: 'User does not exist.'}. Pinned so any client relying on status codes is known to be at risk</t>
        </is>
      </c>
      <c r="J45" s="27" t="inlineStr">
        <is>
          <t>Yes</t>
        </is>
      </c>
      <c r="K45" s="25" t="inlineStr">
        <is>
          <t>tests/api/auth.api.spec.ts › reports authentication failures at HTTP 200</t>
        </is>
      </c>
      <c r="L45" s="25" t="inlineStr">
        <is>
          <t>—</t>
        </is>
      </c>
    </row>
  </sheetData>
  <autoFilter ref="A1:L1"/>
  <dataValidations count="3">
    <dataValidation sqref="D2:D45" showDropDown="0" showInputMessage="0" showErrorMessage="0" allowBlank="0" type="list">
      <formula1>"Functional,Negative,Edge case,Security,UI"</formula1>
    </dataValidation>
    <dataValidation sqref="E2:E45" showDropDown="0" showInputMessage="0" showErrorMessage="0" allowBlank="0" type="list">
      <formula1>"P0,P1,P2"</formula1>
    </dataValidation>
    <dataValidation sqref="J2:J45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46" customWidth="1" min="3" max="3"/>
    <col width="13" customWidth="1" min="4" max="4"/>
    <col width="9" customWidth="1" min="5" max="5"/>
    <col width="30" customWidth="1" min="6" max="6"/>
    <col width="46" customWidth="1" min="7" max="7"/>
    <col width="26" customWidth="1" min="8" max="8"/>
    <col width="58" customWidth="1" min="9" max="9"/>
    <col width="11" customWidth="1" min="10" max="10"/>
    <col width="52" customWidth="1" min="11" max="11"/>
    <col width="12" customWidth="1" min="12" max="12"/>
  </cols>
  <sheetData>
    <row r="1" ht="26" customHeight="1">
      <c r="A1" s="20" t="inlineStr">
        <is>
          <t>Test Case ID</t>
        </is>
      </c>
      <c r="B1" s="20" t="inlineStr">
        <is>
          <t>Feature Area</t>
        </is>
      </c>
      <c r="C1" s="20" t="inlineStr">
        <is>
          <t>Title</t>
        </is>
      </c>
      <c r="D1" s="20" t="inlineStr">
        <is>
          <t>Type</t>
        </is>
      </c>
      <c r="E1" s="20" t="inlineStr">
        <is>
          <t>Priority</t>
        </is>
      </c>
      <c r="F1" s="20" t="inlineStr">
        <is>
          <t>Preconditions</t>
        </is>
      </c>
      <c r="G1" s="20" t="inlineStr">
        <is>
          <t>Test Steps</t>
        </is>
      </c>
      <c r="H1" s="20" t="inlineStr">
        <is>
          <t>Test Data</t>
        </is>
      </c>
      <c r="I1" s="20" t="inlineStr">
        <is>
          <t>Expected Result</t>
        </is>
      </c>
      <c r="J1" s="20" t="inlineStr">
        <is>
          <t>Automated</t>
        </is>
      </c>
      <c r="K1" s="20" t="inlineStr">
        <is>
          <t>Automation Reference</t>
        </is>
      </c>
      <c r="L1" s="20" t="inlineStr">
        <is>
          <t>Defect ID</t>
        </is>
      </c>
    </row>
    <row r="2" ht="62" customHeight="1">
      <c r="A2" s="21" t="inlineStr">
        <is>
          <t>CRT-001</t>
        </is>
      </c>
      <c r="B2" s="22" t="inlineStr">
        <is>
          <t>Add to cart</t>
        </is>
      </c>
      <c r="C2" s="22" t="inlineStr">
        <is>
          <t>Add a single product to the cart</t>
        </is>
      </c>
      <c r="D2" s="22" t="inlineStr">
        <is>
          <t>Functional</t>
        </is>
      </c>
      <c r="E2" s="28" t="inlineStr">
        <is>
          <t>P0</t>
        </is>
      </c>
      <c r="F2" s="22" t="inlineStr">
        <is>
          <t>User is logged in</t>
        </is>
      </c>
      <c r="G2" s="22" t="inlineStr">
        <is>
          <t>1. Open a product page
2. Click 'Add to cart'
3. Accept the confirmation alert
4. Open the Cart page</t>
        </is>
      </c>
      <c r="H2" s="22" t="inlineStr">
        <is>
          <t>product: Samsung galaxy s6</t>
        </is>
      </c>
      <c r="I2" s="22" t="inlineStr">
        <is>
          <t>'Product added.' is shown, and the Cart page lists one line for the product</t>
        </is>
      </c>
      <c r="J2" s="23" t="inlineStr">
        <is>
          <t>Yes</t>
        </is>
      </c>
      <c r="K2" s="22" t="inlineStr">
        <is>
          <t>tests/ui/cart/add-to-cart.spec.ts › adds a product to the cart and shows it with the right price</t>
        </is>
      </c>
      <c r="L2" s="22" t="inlineStr">
        <is>
          <t>—</t>
        </is>
      </c>
    </row>
    <row r="3" ht="48" customHeight="1">
      <c r="A3" s="24" t="inlineStr">
        <is>
          <t>CRT-002</t>
        </is>
      </c>
      <c r="B3" s="25" t="inlineStr">
        <is>
          <t>Add to cart</t>
        </is>
      </c>
      <c r="C3" s="25" t="inlineStr">
        <is>
          <t>Cart line price matches the product page price</t>
        </is>
      </c>
      <c r="D3" s="25" t="inlineStr">
        <is>
          <t>Functional</t>
        </is>
      </c>
      <c r="E3" s="26" t="inlineStr">
        <is>
          <t>P0</t>
        </is>
      </c>
      <c r="F3" s="25" t="inlineStr">
        <is>
          <t>User is logged in</t>
        </is>
      </c>
      <c r="G3" s="25" t="inlineStr">
        <is>
          <t>1. Note the price on the product page
2. Add the product to the cart
3. Open the Cart page</t>
        </is>
      </c>
      <c r="H3" s="25" t="inlineStr">
        <is>
          <t>product: Samsung galaxy s6 ($360)</t>
        </is>
      </c>
      <c r="I3" s="25" t="inlineStr">
        <is>
          <t>The cart line price equals the price shown on the product page and the value returned by the API</t>
        </is>
      </c>
      <c r="J3" s="27" t="inlineStr">
        <is>
          <t>Yes</t>
        </is>
      </c>
      <c r="K3" s="25" t="inlineStr">
        <is>
          <t>tests/ui/cart/add-to-cart.spec.ts › adds a product to the cart and shows it with the right price</t>
        </is>
      </c>
      <c r="L3" s="25" t="inlineStr">
        <is>
          <t>—</t>
        </is>
      </c>
    </row>
    <row r="4" ht="62" customHeight="1">
      <c r="A4" s="21" t="inlineStr">
        <is>
          <t>CRT-003</t>
        </is>
      </c>
      <c r="B4" s="22" t="inlineStr">
        <is>
          <t>Add to cart</t>
        </is>
      </c>
      <c r="C4" s="22" t="inlineStr">
        <is>
          <t>Multiple different products can be added</t>
        </is>
      </c>
      <c r="D4" s="22" t="inlineStr">
        <is>
          <t>Functional</t>
        </is>
      </c>
      <c r="E4" s="28" t="inlineStr">
        <is>
          <t>P0</t>
        </is>
      </c>
      <c r="F4" s="22" t="inlineStr">
        <is>
          <t>User is logged in with an empty cart</t>
        </is>
      </c>
      <c r="G4" s="22" t="inlineStr">
        <is>
          <t>1. Add a phone
2. Add a laptop
3. Add a monitor
4. Open the Cart page</t>
        </is>
      </c>
      <c r="H4" s="22" t="inlineStr">
        <is>
          <t>Samsung galaxy s6, Sony vaio i5, Apple monitor 24</t>
        </is>
      </c>
      <c r="I4" s="22" t="inlineStr">
        <is>
          <t>The cart contains exactly three lines, one per product, each with the correct title and price</t>
        </is>
      </c>
      <c r="J4" s="23" t="inlineStr">
        <is>
          <t>Yes</t>
        </is>
      </c>
      <c r="K4" s="22" t="inlineStr">
        <is>
          <t>tests/ui/cart/add-to-cart.spec.ts › sums multiple different products into the displayed total</t>
        </is>
      </c>
      <c r="L4" s="22" t="inlineStr">
        <is>
          <t>—</t>
        </is>
      </c>
    </row>
    <row r="5" ht="62" customHeight="1">
      <c r="A5" s="24" t="inlineStr">
        <is>
          <t>CRT-004</t>
        </is>
      </c>
      <c r="B5" s="25" t="inlineStr">
        <is>
          <t>Totals</t>
        </is>
      </c>
      <c r="C5" s="25" t="inlineStr">
        <is>
          <t>Cart total equals the sum of the line prices</t>
        </is>
      </c>
      <c r="D5" s="25" t="inlineStr">
        <is>
          <t>Functional</t>
        </is>
      </c>
      <c r="E5" s="26" t="inlineStr">
        <is>
          <t>P0</t>
        </is>
      </c>
      <c r="F5" s="25" t="inlineStr">
        <is>
          <t>Cart contains several products</t>
        </is>
      </c>
      <c r="G5" s="25" t="inlineStr">
        <is>
          <t>1. Add three products
2. Open the Cart page
3. Compare the total against the sum of the visible lines</t>
        </is>
      </c>
      <c r="H5" s="25" t="inlineStr">
        <is>
          <t>360 + 790 + 400</t>
        </is>
      </c>
      <c r="I5" s="25" t="inlineStr">
        <is>
          <t>The displayed total equals 1550 and equals the arithmetic sum of the lines shown to the customer</t>
        </is>
      </c>
      <c r="J5" s="27" t="inlineStr">
        <is>
          <t>Yes</t>
        </is>
      </c>
      <c r="K5" s="25" t="inlineStr">
        <is>
          <t>tests/ui/cart/add-to-cart.spec.ts › sums multiple different products into the displayed total</t>
        </is>
      </c>
      <c r="L5" s="25" t="inlineStr">
        <is>
          <t>—</t>
        </is>
      </c>
    </row>
    <row r="6" ht="34" customHeight="1">
      <c r="A6" s="21" t="inlineStr">
        <is>
          <t>CRT-005</t>
        </is>
      </c>
      <c r="B6" s="22" t="inlineStr">
        <is>
          <t>Add to cart</t>
        </is>
      </c>
      <c r="C6" s="22" t="inlineStr">
        <is>
          <t>The same product can be added twice</t>
        </is>
      </c>
      <c r="D6" s="22" t="inlineStr">
        <is>
          <t>Edge case</t>
        </is>
      </c>
      <c r="E6" s="22" t="inlineStr">
        <is>
          <t>P1</t>
        </is>
      </c>
      <c r="F6" s="22" t="inlineStr">
        <is>
          <t>User is logged in with an empty cart</t>
        </is>
      </c>
      <c r="G6" s="22" t="inlineStr">
        <is>
          <t>1. Add the same product twice
2. Open the Cart page</t>
        </is>
      </c>
      <c r="H6" s="22" t="inlineStr">
        <is>
          <t>product: Samsung galaxy s6 x2</t>
        </is>
      </c>
      <c r="I6" s="22" t="inlineStr">
        <is>
          <t>Two separate lines are shown (there is no quantity column) and the total is double the unit price</t>
        </is>
      </c>
      <c r="J6" s="23" t="inlineStr">
        <is>
          <t>Yes</t>
        </is>
      </c>
      <c r="K6" s="22" t="inlineStr">
        <is>
          <t>tests/ui/cart/add-to-cart.spec.ts › allows the same product to be added twice as two lines</t>
        </is>
      </c>
      <c r="L6" s="22" t="inlineStr">
        <is>
          <t>—</t>
        </is>
      </c>
    </row>
    <row r="7" ht="48" customHeight="1">
      <c r="A7" s="24" t="inlineStr">
        <is>
          <t>CRT-006</t>
        </is>
      </c>
      <c r="B7" s="25" t="inlineStr">
        <is>
          <t>Add to cart</t>
        </is>
      </c>
      <c r="C7" s="25" t="inlineStr">
        <is>
          <t>Products from every category can be added</t>
        </is>
      </c>
      <c r="D7" s="25" t="inlineStr">
        <is>
          <t>Functional</t>
        </is>
      </c>
      <c r="E7" s="25" t="inlineStr">
        <is>
          <t>P1</t>
        </is>
      </c>
      <c r="F7" s="25" t="inlineStr">
        <is>
          <t>User is logged in</t>
        </is>
      </c>
      <c r="G7" s="25" t="inlineStr">
        <is>
          <t>1. Filter by Phones and add a product
2. Filter by Laptops and add a product
3. Filter by Monitors and add a product</t>
        </is>
      </c>
      <c r="H7" s="25" t="inlineStr">
        <is>
          <t>one product per category</t>
        </is>
      </c>
      <c r="I7" s="25" t="inlineStr">
        <is>
          <t>All three are added successfully; category filtering does not affect the add-to-cart flow</t>
        </is>
      </c>
      <c r="J7" s="29" t="inlineStr">
        <is>
          <t>No</t>
        </is>
      </c>
      <c r="K7" s="25" t="inlineStr">
        <is>
          <t>—</t>
        </is>
      </c>
      <c r="L7" s="25" t="inlineStr">
        <is>
          <t>—</t>
        </is>
      </c>
    </row>
    <row r="8" ht="48" customHeight="1">
      <c r="A8" s="21" t="inlineStr">
        <is>
          <t>CRT-007</t>
        </is>
      </c>
      <c r="B8" s="22" t="inlineStr">
        <is>
          <t>Add to cart</t>
        </is>
      </c>
      <c r="C8" s="22" t="inlineStr">
        <is>
          <t>Confirmation wording differs when logged out</t>
        </is>
      </c>
      <c r="D8" s="22" t="inlineStr">
        <is>
          <t>Edge case</t>
        </is>
      </c>
      <c r="E8" s="22" t="inlineStr">
        <is>
          <t>P2</t>
        </is>
      </c>
      <c r="F8" s="22" t="inlineStr">
        <is>
          <t>User is logged out</t>
        </is>
      </c>
      <c r="G8" s="22" t="inlineStr">
        <is>
          <t>1. Open a product page while logged out
2. Click 'Add to cart'</t>
        </is>
      </c>
      <c r="H8" s="22" t="inlineStr">
        <is>
          <t>product: Samsung galaxy s6</t>
        </is>
      </c>
      <c r="I8" s="22" t="inlineStr">
        <is>
          <t>The alert reads 'Product added' with no full stop, unlike the logged-in path's 'Product added.'. Inconsistent copy from two code paths — DEMO-9</t>
        </is>
      </c>
      <c r="J8" s="23" t="inlineStr">
        <is>
          <t>Yes</t>
        </is>
      </c>
      <c r="K8" s="22" t="inlineStr">
        <is>
          <t>tests/ui/cart/add-to-cart.spec.ts › does not carry an anonymous cart into the session after login</t>
        </is>
      </c>
      <c r="L8" s="31" t="inlineStr">
        <is>
          <t>DEMO-9</t>
        </is>
      </c>
    </row>
    <row r="9" ht="48" customHeight="1">
      <c r="A9" s="24" t="inlineStr">
        <is>
          <t>CRT-008</t>
        </is>
      </c>
      <c r="B9" s="25" t="inlineStr">
        <is>
          <t>Add to cart</t>
        </is>
      </c>
      <c r="C9" s="25" t="inlineStr">
        <is>
          <t>An anonymous cart is not merged on login</t>
        </is>
      </c>
      <c r="D9" s="25" t="inlineStr">
        <is>
          <t>Edge case</t>
        </is>
      </c>
      <c r="E9" s="25" t="inlineStr">
        <is>
          <t>P1</t>
        </is>
      </c>
      <c r="F9" s="25" t="inlineStr">
        <is>
          <t>User is logged out</t>
        </is>
      </c>
      <c r="G9" s="25" t="inlineStr">
        <is>
          <t>1. Add a product while logged out
2. Log in with a registered account
3. Open the Cart page</t>
        </is>
      </c>
      <c r="H9" s="25" t="inlineStr">
        <is>
          <t>product: Samsung galaxy s6</t>
        </is>
      </c>
      <c r="I9" s="25" t="inlineStr">
        <is>
          <t>The cart is empty — items added anonymously are silently discarded rather than merged into the account. Raised as DEMO-6</t>
        </is>
      </c>
      <c r="J9" s="27" t="inlineStr">
        <is>
          <t>Yes</t>
        </is>
      </c>
      <c r="K9" s="25" t="inlineStr">
        <is>
          <t>tests/ui/cart/add-to-cart.spec.ts › does not carry an anonymous cart into the session after login</t>
        </is>
      </c>
      <c r="L9" s="31" t="inlineStr">
        <is>
          <t>DEMO-6</t>
        </is>
      </c>
    </row>
    <row r="10" ht="48" customHeight="1">
      <c r="A10" s="21" t="inlineStr">
        <is>
          <t>CRT-009</t>
        </is>
      </c>
      <c r="B10" s="22" t="inlineStr">
        <is>
          <t>Add to cart</t>
        </is>
      </c>
      <c r="C10" s="22" t="inlineStr">
        <is>
          <t>Add to cart remains usable after a successful add</t>
        </is>
      </c>
      <c r="D10" s="22" t="inlineStr">
        <is>
          <t>Functional</t>
        </is>
      </c>
      <c r="E10" s="22" t="inlineStr">
        <is>
          <t>P2</t>
        </is>
      </c>
      <c r="F10" s="22" t="inlineStr">
        <is>
          <t>User is logged in on a product page</t>
        </is>
      </c>
      <c r="G10" s="22" t="inlineStr">
        <is>
          <t>1. Add the product
2. Dismiss the alert
3. Observe the button</t>
        </is>
      </c>
      <c r="H10" s="22" t="inlineStr">
        <is>
          <t>-</t>
        </is>
      </c>
      <c r="I10" s="22" t="inlineStr">
        <is>
          <t>The 'Add to cart' link stays enabled and the page does not navigate away</t>
        </is>
      </c>
      <c r="J10" s="30" t="inlineStr">
        <is>
          <t>No</t>
        </is>
      </c>
      <c r="K10" s="22" t="inlineStr">
        <is>
          <t>—</t>
        </is>
      </c>
      <c r="L10" s="22" t="inlineStr">
        <is>
          <t>—</t>
        </is>
      </c>
    </row>
    <row r="11" ht="34" customHeight="1">
      <c r="A11" s="24" t="inlineStr">
        <is>
          <t>CRT-010</t>
        </is>
      </c>
      <c r="B11" s="25" t="inlineStr">
        <is>
          <t>Catalogue</t>
        </is>
      </c>
      <c r="C11" s="25" t="inlineStr">
        <is>
          <t>Product page price matches the catalogue listing</t>
        </is>
      </c>
      <c r="D11" s="25" t="inlineStr">
        <is>
          <t>Functional</t>
        </is>
      </c>
      <c r="E11" s="25" t="inlineStr">
        <is>
          <t>P1</t>
        </is>
      </c>
      <c r="F11" s="25" t="inlineStr">
        <is>
          <t>-</t>
        </is>
      </c>
      <c r="G11" s="25" t="inlineStr">
        <is>
          <t>1. Note the price on a catalogue card
2. Open that product's page</t>
        </is>
      </c>
      <c r="H11" s="25" t="inlineStr">
        <is>
          <t>product: Samsung galaxy s6</t>
        </is>
      </c>
      <c r="I11" s="25" t="inlineStr">
        <is>
          <t>Both views show the same price — no disagreement between the list and detail sources</t>
        </is>
      </c>
      <c r="J11" s="27" t="inlineStr">
        <is>
          <t>Yes</t>
        </is>
      </c>
      <c r="K11" s="25" t="inlineStr">
        <is>
          <t>tests/api/catalog.api.spec.ts › single-product view agrees with the list view</t>
        </is>
      </c>
      <c r="L11" s="25" t="inlineStr">
        <is>
          <t>—</t>
        </is>
      </c>
    </row>
    <row r="12" ht="48" customHeight="1">
      <c r="A12" s="21" t="inlineStr">
        <is>
          <t>CRT-011</t>
        </is>
      </c>
      <c r="B12" s="22" t="inlineStr">
        <is>
          <t>Cart view</t>
        </is>
      </c>
      <c r="C12" s="22" t="inlineStr">
        <is>
          <t>A new account starts with an empty cart</t>
        </is>
      </c>
      <c r="D12" s="22" t="inlineStr">
        <is>
          <t>Functional</t>
        </is>
      </c>
      <c r="E12" s="22" t="inlineStr">
        <is>
          <t>P1</t>
        </is>
      </c>
      <c r="F12" s="22" t="inlineStr">
        <is>
          <t>A newly registered account, logged in</t>
        </is>
      </c>
      <c r="G12" s="22" t="inlineStr">
        <is>
          <t>1. Register a new account
2. Log in
3. Open the Cart page</t>
        </is>
      </c>
      <c r="H12" s="22" t="inlineStr">
        <is>
          <t>-</t>
        </is>
      </c>
      <c r="I12" s="22" t="inlineStr">
        <is>
          <t>No product lines are shown and the total is blank/zero</t>
        </is>
      </c>
      <c r="J12" s="23" t="inlineStr">
        <is>
          <t>Yes</t>
        </is>
      </c>
      <c r="K12" s="22" t="inlineStr">
        <is>
          <t>tests/ui/cart/add-to-cart.spec.ts › shows an empty cart for a brand-new account</t>
        </is>
      </c>
      <c r="L12" s="22" t="inlineStr">
        <is>
          <t>—</t>
        </is>
      </c>
    </row>
    <row r="13" ht="48" customHeight="1">
      <c r="A13" s="24" t="inlineStr">
        <is>
          <t>CRT-012</t>
        </is>
      </c>
      <c r="B13" s="25" t="inlineStr">
        <is>
          <t>Cart view</t>
        </is>
      </c>
      <c r="C13" s="25" t="inlineStr">
        <is>
          <t>Empty cart renders without errors</t>
        </is>
      </c>
      <c r="D13" s="25" t="inlineStr">
        <is>
          <t>Edge case</t>
        </is>
      </c>
      <c r="E13" s="25" t="inlineStr">
        <is>
          <t>P2</t>
        </is>
      </c>
      <c r="F13" s="25" t="inlineStr">
        <is>
          <t>User is logged in with an empty cart</t>
        </is>
      </c>
      <c r="G13" s="25" t="inlineStr">
        <is>
          <t>1. Open the Cart page</t>
        </is>
      </c>
      <c r="H13" s="25" t="inlineStr">
        <is>
          <t>-</t>
        </is>
      </c>
      <c r="I13" s="25" t="inlineStr">
        <is>
          <t>The table renders with headers only, the total is empty, 'Place Order' is present, and no console errors are raised</t>
        </is>
      </c>
      <c r="J13" s="27" t="inlineStr">
        <is>
          <t>Yes</t>
        </is>
      </c>
      <c r="K13" s="25" t="inlineStr">
        <is>
          <t>tests/ui/cart/add-to-cart.spec.ts › shows an empty cart for a brand-new account</t>
        </is>
      </c>
      <c r="L13" s="25" t="inlineStr">
        <is>
          <t>—</t>
        </is>
      </c>
    </row>
    <row r="14" ht="34" customHeight="1">
      <c r="A14" s="21" t="inlineStr">
        <is>
          <t>CRT-013</t>
        </is>
      </c>
      <c r="B14" s="22" t="inlineStr">
        <is>
          <t>Cart management</t>
        </is>
      </c>
      <c r="C14" s="22" t="inlineStr">
        <is>
          <t>Deleting a line removes it and recalculates the total</t>
        </is>
      </c>
      <c r="D14" s="22" t="inlineStr">
        <is>
          <t>Functional</t>
        </is>
      </c>
      <c r="E14" s="28" t="inlineStr">
        <is>
          <t>P0</t>
        </is>
      </c>
      <c r="F14" s="22" t="inlineStr">
        <is>
          <t>Cart contains two products</t>
        </is>
      </c>
      <c r="G14" s="22" t="inlineStr">
        <is>
          <t>1. Open the Cart page
2. Click 'Delete' on the first line</t>
        </is>
      </c>
      <c r="H14" s="22" t="inlineStr">
        <is>
          <t>phone $360 + laptop $790</t>
        </is>
      </c>
      <c r="I14" s="22" t="inlineStr">
        <is>
          <t>The deleted line disappears, the remaining line is intact, and the total drops to 790</t>
        </is>
      </c>
      <c r="J14" s="23" t="inlineStr">
        <is>
          <t>Yes</t>
        </is>
      </c>
      <c r="K14" s="22" t="inlineStr">
        <is>
          <t>tests/ui/cart/add-to-cart.spec.ts › removes a line and recalculates the total</t>
        </is>
      </c>
      <c r="L14" s="22" t="inlineStr">
        <is>
          <t>—</t>
        </is>
      </c>
    </row>
    <row r="15" ht="34" customHeight="1">
      <c r="A15" s="24" t="inlineStr">
        <is>
          <t>CRT-014</t>
        </is>
      </c>
      <c r="B15" s="25" t="inlineStr">
        <is>
          <t>Cart management</t>
        </is>
      </c>
      <c r="C15" s="25" t="inlineStr">
        <is>
          <t>Deleting the last line empties the cart</t>
        </is>
      </c>
      <c r="D15" s="25" t="inlineStr">
        <is>
          <t>Edge case</t>
        </is>
      </c>
      <c r="E15" s="25" t="inlineStr">
        <is>
          <t>P1</t>
        </is>
      </c>
      <c r="F15" s="25" t="inlineStr">
        <is>
          <t>Cart contains exactly one product</t>
        </is>
      </c>
      <c r="G15" s="25" t="inlineStr">
        <is>
          <t>1. Open the Cart page
2. Delete the only line</t>
        </is>
      </c>
      <c r="H15" s="25" t="inlineStr">
        <is>
          <t>product: Apple monitor 24</t>
        </is>
      </c>
      <c r="I15" s="25" t="inlineStr">
        <is>
          <t>The cart shows no lines and the total returns to zero/blank</t>
        </is>
      </c>
      <c r="J15" s="27" t="inlineStr">
        <is>
          <t>Yes</t>
        </is>
      </c>
      <c r="K15" s="25" t="inlineStr">
        <is>
          <t>tests/ui/cart/add-to-cart.spec.ts › empties to a zero total when the last line is removed</t>
        </is>
      </c>
      <c r="L15" s="25" t="inlineStr">
        <is>
          <t>—</t>
        </is>
      </c>
    </row>
    <row r="16" ht="48" customHeight="1">
      <c r="A16" s="21" t="inlineStr">
        <is>
          <t>CRT-015</t>
        </is>
      </c>
      <c r="B16" s="22" t="inlineStr">
        <is>
          <t>Cart management</t>
        </is>
      </c>
      <c r="C16" s="22" t="inlineStr">
        <is>
          <t>Deleting one duplicate line leaves the other</t>
        </is>
      </c>
      <c r="D16" s="22" t="inlineStr">
        <is>
          <t>Edge case</t>
        </is>
      </c>
      <c r="E16" s="22" t="inlineStr">
        <is>
          <t>P1</t>
        </is>
      </c>
      <c r="F16" s="22" t="inlineStr">
        <is>
          <t>Cart contains the same product twice</t>
        </is>
      </c>
      <c r="G16" s="22" t="inlineStr">
        <is>
          <t>1. Open the Cart page
2. Delete one of the two identical lines</t>
        </is>
      </c>
      <c r="H16" s="22" t="inlineStr">
        <is>
          <t>product: Samsung galaxy s6 x2</t>
        </is>
      </c>
      <c r="I16" s="22" t="inlineStr">
        <is>
          <t>Exactly one line remains and the total equals a single unit price — lines are addressed individually, not by product</t>
        </is>
      </c>
      <c r="J16" s="23" t="inlineStr">
        <is>
          <t>Yes</t>
        </is>
      </c>
      <c r="K16" s="22" t="inlineStr">
        <is>
          <t>tests/api/cart.api.spec.ts › keeps each line addressable by its own id</t>
        </is>
      </c>
      <c r="L16" s="22" t="inlineStr">
        <is>
          <t>—</t>
        </is>
      </c>
    </row>
    <row r="17" ht="34" customHeight="1">
      <c r="A17" s="24" t="inlineStr">
        <is>
          <t>CRT-016</t>
        </is>
      </c>
      <c r="B17" s="25" t="inlineStr">
        <is>
          <t>Persistence</t>
        </is>
      </c>
      <c r="C17" s="25" t="inlineStr">
        <is>
          <t>Cart survives a page reload</t>
        </is>
      </c>
      <c r="D17" s="25" t="inlineStr">
        <is>
          <t>Functional</t>
        </is>
      </c>
      <c r="E17" s="25" t="inlineStr">
        <is>
          <t>P1</t>
        </is>
      </c>
      <c r="F17" s="25" t="inlineStr">
        <is>
          <t>Cart contains a product</t>
        </is>
      </c>
      <c r="G17" s="25" t="inlineStr">
        <is>
          <t>1. Open the Cart page
2. Reload the page</t>
        </is>
      </c>
      <c r="H17" s="25" t="inlineStr">
        <is>
          <t>product: Samsung galaxy s6</t>
        </is>
      </c>
      <c r="I17" s="25" t="inlineStr">
        <is>
          <t>The same line is still present after the reload — the cart is server-side, not browser state</t>
        </is>
      </c>
      <c r="J17" s="27" t="inlineStr">
        <is>
          <t>Yes</t>
        </is>
      </c>
      <c r="K17" s="25" t="inlineStr">
        <is>
          <t>tests/ui/cart/add-to-cart.spec.ts › persists the cart across a page reload</t>
        </is>
      </c>
      <c r="L17" s="25" t="inlineStr">
        <is>
          <t>—</t>
        </is>
      </c>
    </row>
    <row r="18" ht="62" customHeight="1">
      <c r="A18" s="21" t="inlineStr">
        <is>
          <t>CRT-017</t>
        </is>
      </c>
      <c r="B18" s="22" t="inlineStr">
        <is>
          <t>Persistence</t>
        </is>
      </c>
      <c r="C18" s="22" t="inlineStr">
        <is>
          <t>Cart survives logging out and back in</t>
        </is>
      </c>
      <c r="D18" s="22" t="inlineStr">
        <is>
          <t>Functional</t>
        </is>
      </c>
      <c r="E18" s="22" t="inlineStr">
        <is>
          <t>P1</t>
        </is>
      </c>
      <c r="F18" s="22" t="inlineStr">
        <is>
          <t>Cart contains a product and the user is logged in</t>
        </is>
      </c>
      <c r="G18" s="22" t="inlineStr">
        <is>
          <t>1. Add a product
2. Log out
3. Log back in with the same account
4. Open the Cart page</t>
        </is>
      </c>
      <c r="H18" s="22" t="inlineStr">
        <is>
          <t>product: Samsung galaxy s6</t>
        </is>
      </c>
      <c r="I18" s="22" t="inlineStr">
        <is>
          <t>The cart still contains the product; it is bound to the account rather than the session</t>
        </is>
      </c>
      <c r="J18" s="30" t="inlineStr">
        <is>
          <t>No</t>
        </is>
      </c>
      <c r="K18" s="22" t="inlineStr">
        <is>
          <t>—</t>
        </is>
      </c>
      <c r="L18" s="22" t="inlineStr">
        <is>
          <t>—</t>
        </is>
      </c>
    </row>
    <row r="19" ht="48" customHeight="1">
      <c r="A19" s="24" t="inlineStr">
        <is>
          <t>CRT-018</t>
        </is>
      </c>
      <c r="B19" s="25" t="inlineStr">
        <is>
          <t>Isolation</t>
        </is>
      </c>
      <c r="C19" s="25" t="inlineStr">
        <is>
          <t>Carts are isolated between accounts</t>
        </is>
      </c>
      <c r="D19" s="25" t="inlineStr">
        <is>
          <t>Security</t>
        </is>
      </c>
      <c r="E19" s="26" t="inlineStr">
        <is>
          <t>P0</t>
        </is>
      </c>
      <c r="F19" s="25" t="inlineStr">
        <is>
          <t>Two registered accounts exist</t>
        </is>
      </c>
      <c r="G19" s="25" t="inlineStr">
        <is>
          <t>1. Log in as user A and add a product
2. Log in as user B in a clean session
3. Open the Cart page</t>
        </is>
      </c>
      <c r="H19" s="25" t="inlineStr">
        <is>
          <t>user A: 1 product
user B: new account</t>
        </is>
      </c>
      <c r="I19" s="25" t="inlineStr">
        <is>
          <t>User B's cart is empty and user A's cart is unchanged — no cross-account leakage</t>
        </is>
      </c>
      <c r="J19" s="27" t="inlineStr">
        <is>
          <t>Yes</t>
        </is>
      </c>
      <c r="K19" s="25" t="inlineStr">
        <is>
          <t>tests/api/cart.api.spec.ts › carts are isolated between accounts</t>
        </is>
      </c>
      <c r="L19" s="25" t="inlineStr">
        <is>
          <t>—</t>
        </is>
      </c>
    </row>
    <row r="20" ht="48" customHeight="1">
      <c r="A20" s="21" t="inlineStr">
        <is>
          <t>CRT-019</t>
        </is>
      </c>
      <c r="B20" s="22" t="inlineStr">
        <is>
          <t>Cart view</t>
        </is>
      </c>
      <c r="C20" s="22" t="inlineStr">
        <is>
          <t>Cart contents match the API's view of the cart</t>
        </is>
      </c>
      <c r="D20" s="22" t="inlineStr">
        <is>
          <t>Functional</t>
        </is>
      </c>
      <c r="E20" s="22" t="inlineStr">
        <is>
          <t>P1</t>
        </is>
      </c>
      <c r="F20" s="22" t="inlineStr">
        <is>
          <t>Cart contains several products</t>
        </is>
      </c>
      <c r="G20" s="22" t="inlineStr">
        <is>
          <t>1. Add three products
2. Open the Cart page
3. Call POST /viewcart with the same token</t>
        </is>
      </c>
      <c r="H20" s="22" t="inlineStr">
        <is>
          <t>-</t>
        </is>
      </c>
      <c r="I20" s="22" t="inlineStr">
        <is>
          <t>The rendered lines and the API response describe the same set of items — the UI does not hide or invent lines</t>
        </is>
      </c>
      <c r="J20" s="23" t="inlineStr">
        <is>
          <t>Yes</t>
        </is>
      </c>
      <c r="K20" s="22" t="inlineStr">
        <is>
          <t>tests/api/cart.api.spec.ts › adds an item and reads it back</t>
        </is>
      </c>
      <c r="L20" s="22" t="inlineStr">
        <is>
          <t>—</t>
        </is>
      </c>
    </row>
    <row r="21" ht="34" customHeight="1">
      <c r="A21" s="24" t="inlineStr">
        <is>
          <t>CRT-020</t>
        </is>
      </c>
      <c r="B21" s="25" t="inlineStr">
        <is>
          <t>Cart view</t>
        </is>
      </c>
      <c r="C21" s="25" t="inlineStr">
        <is>
          <t>Each cart line renders its product image and title</t>
        </is>
      </c>
      <c r="D21" s="25" t="inlineStr">
        <is>
          <t>UI</t>
        </is>
      </c>
      <c r="E21" s="25" t="inlineStr">
        <is>
          <t>P2</t>
        </is>
      </c>
      <c r="F21" s="25" t="inlineStr">
        <is>
          <t>Cart contains a product</t>
        </is>
      </c>
      <c r="G21" s="25" t="inlineStr">
        <is>
          <t>1. Open the Cart page
2. Inspect the line</t>
        </is>
      </c>
      <c r="H21" s="25" t="inlineStr">
        <is>
          <t>product: Samsung galaxy s6</t>
        </is>
      </c>
      <c r="I21" s="25" t="inlineStr">
        <is>
          <t>The image loads (no broken image) and the title matches the product exactly</t>
        </is>
      </c>
      <c r="J21" s="29" t="inlineStr">
        <is>
          <t>No</t>
        </is>
      </c>
      <c r="K21" s="25" t="inlineStr">
        <is>
          <t>—</t>
        </is>
      </c>
      <c r="L21" s="25" t="inlineStr">
        <is>
          <t>—</t>
        </is>
      </c>
    </row>
    <row r="22" ht="34" customHeight="1">
      <c r="A22" s="21" t="inlineStr">
        <is>
          <t>CRT-021</t>
        </is>
      </c>
      <c r="B22" s="22" t="inlineStr">
        <is>
          <t>Cart management</t>
        </is>
      </c>
      <c r="C22" s="22" t="inlineStr">
        <is>
          <t>Deleting an item that no longer exists is harmless</t>
        </is>
      </c>
      <c r="D22" s="22" t="inlineStr">
        <is>
          <t>Edge case</t>
        </is>
      </c>
      <c r="E22" s="22" t="inlineStr">
        <is>
          <t>P2</t>
        </is>
      </c>
      <c r="F22" s="22" t="inlineStr">
        <is>
          <t>User is logged in</t>
        </is>
      </c>
      <c r="G22" s="22" t="inlineStr">
        <is>
          <t>1. Call POST /deleteitem with an id that is not in any cart</t>
        </is>
      </c>
      <c r="H22" s="22" t="inlineStr">
        <is>
          <t>id: pw-nonexistent</t>
        </is>
      </c>
      <c r="I22" s="22" t="inlineStr">
        <is>
          <t>The API returns success and no cart is modified — the operation is idempotent</t>
        </is>
      </c>
      <c r="J22" s="23" t="inlineStr">
        <is>
          <t>Yes</t>
        </is>
      </c>
      <c r="K22" s="22" t="inlineStr">
        <is>
          <t>tests/api/cart.api.spec.ts › deleting a non-existent line item is a no-op, not an error</t>
        </is>
      </c>
      <c r="L22" s="22" t="inlineStr">
        <is>
          <t>—</t>
        </is>
      </c>
    </row>
    <row r="23" ht="48" customHeight="1">
      <c r="A23" s="24" t="inlineStr">
        <is>
          <t>CRT-022</t>
        </is>
      </c>
      <c r="B23" s="25" t="inlineStr">
        <is>
          <t>Cart management</t>
        </is>
      </c>
      <c r="C23" s="25" t="inlineStr">
        <is>
          <t>Cart can be emptied line by line</t>
        </is>
      </c>
      <c r="D23" s="25" t="inlineStr">
        <is>
          <t>Functional</t>
        </is>
      </c>
      <c r="E23" s="25" t="inlineStr">
        <is>
          <t>P2</t>
        </is>
      </c>
      <c r="F23" s="25" t="inlineStr">
        <is>
          <t>Cart contains three products</t>
        </is>
      </c>
      <c r="G23" s="25" t="inlineStr">
        <is>
          <t>1. Delete each line in turn
2. Observe the total after each deletion</t>
        </is>
      </c>
      <c r="H23" s="25" t="inlineStr">
        <is>
          <t>three products</t>
        </is>
      </c>
      <c r="I23" s="25" t="inlineStr">
        <is>
          <t>The total decreases by the corresponding line price after each deletion and reaches zero when the cart is empty</t>
        </is>
      </c>
      <c r="J23" s="27" t="inlineStr">
        <is>
          <t>Yes</t>
        </is>
      </c>
      <c r="K23" s="25" t="inlineStr">
        <is>
          <t>tests/api/cart.api.spec.ts › empties the cart</t>
        </is>
      </c>
      <c r="L23" s="25" t="inlineStr">
        <is>
          <t>—</t>
        </is>
      </c>
    </row>
    <row r="24" ht="34" customHeight="1">
      <c r="A24" s="21" t="inlineStr">
        <is>
          <t>CRT-023</t>
        </is>
      </c>
      <c r="B24" s="22" t="inlineStr">
        <is>
          <t>Checkout</t>
        </is>
      </c>
      <c r="C24" s="22" t="inlineStr">
        <is>
          <t>Place Order modal opens and shows the total</t>
        </is>
      </c>
      <c r="D24" s="22" t="inlineStr">
        <is>
          <t>Functional</t>
        </is>
      </c>
      <c r="E24" s="28" t="inlineStr">
        <is>
          <t>P0</t>
        </is>
      </c>
      <c r="F24" s="22" t="inlineStr">
        <is>
          <t>Cart contains products</t>
        </is>
      </c>
      <c r="G24" s="22" t="inlineStr">
        <is>
          <t>1. Open the Cart page
2. Click 'Place Order'</t>
        </is>
      </c>
      <c r="H24" s="22" t="inlineStr">
        <is>
          <t>phone $360 + laptop $790</t>
        </is>
      </c>
      <c r="I24" s="22" t="inlineStr">
        <is>
          <t>The order modal opens showing 'Total: 1150' and the Name, Country, City, Credit card, Month, Year fields</t>
        </is>
      </c>
      <c r="J24" s="23" t="inlineStr">
        <is>
          <t>Yes</t>
        </is>
      </c>
      <c r="K24" s="22" t="inlineStr">
        <is>
          <t>tests/ui/cart/place-order.spec.ts › completes an order and reports the correct receipt</t>
        </is>
      </c>
      <c r="L24" s="22" t="inlineStr">
        <is>
          <t>—</t>
        </is>
      </c>
    </row>
    <row r="25" ht="34" customHeight="1">
      <c r="A25" s="24" t="inlineStr">
        <is>
          <t>CRT-024</t>
        </is>
      </c>
      <c r="B25" s="25" t="inlineStr">
        <is>
          <t>Checkout</t>
        </is>
      </c>
      <c r="C25" s="25" t="inlineStr">
        <is>
          <t>Order modal total matches the cart total</t>
        </is>
      </c>
      <c r="D25" s="25" t="inlineStr">
        <is>
          <t>Functional</t>
        </is>
      </c>
      <c r="E25" s="26" t="inlineStr">
        <is>
          <t>P0</t>
        </is>
      </c>
      <c r="F25" s="25" t="inlineStr">
        <is>
          <t>Cart contains products</t>
        </is>
      </c>
      <c r="G25" s="25" t="inlineStr">
        <is>
          <t>1. Note the cart total
2. Open the order modal</t>
        </is>
      </c>
      <c r="H25" s="25" t="inlineStr">
        <is>
          <t>phone $360 + laptop $790</t>
        </is>
      </c>
      <c r="I25" s="25" t="inlineStr">
        <is>
          <t>Both show the same figure — the customer is never shown two different amounts</t>
        </is>
      </c>
      <c r="J25" s="27" t="inlineStr">
        <is>
          <t>Yes</t>
        </is>
      </c>
      <c r="K25" s="25" t="inlineStr">
        <is>
          <t>tests/ui/cart/place-order.spec.ts › completes an order and reports the correct receipt</t>
        </is>
      </c>
      <c r="L25" s="25" t="inlineStr">
        <is>
          <t>—</t>
        </is>
      </c>
    </row>
    <row r="26" ht="62" customHeight="1">
      <c r="A26" s="21" t="inlineStr">
        <is>
          <t>CRT-025</t>
        </is>
      </c>
      <c r="B26" s="22" t="inlineStr">
        <is>
          <t>Checkout</t>
        </is>
      </c>
      <c r="C26" s="22" t="inlineStr">
        <is>
          <t>Place an order with complete, valid details</t>
        </is>
      </c>
      <c r="D26" s="22" t="inlineStr">
        <is>
          <t>Functional</t>
        </is>
      </c>
      <c r="E26" s="28" t="inlineStr">
        <is>
          <t>P0</t>
        </is>
      </c>
      <c r="F26" s="22" t="inlineStr">
        <is>
          <t>Cart contains products and the user is logged in</t>
        </is>
      </c>
      <c r="G26" s="22" t="inlineStr">
        <is>
          <t>1. Open the order modal
2. Fill Name, Country, City, Credit card, Month, Year
3. Click 'Purchase'</t>
        </is>
      </c>
      <c r="H26" s="22" t="inlineStr">
        <is>
          <t>Jane Tester / Vietnam / Ho Chi Minh City / 4111111111111111 / 12 / 2030</t>
        </is>
      </c>
      <c r="I26" s="22" t="inlineStr">
        <is>
          <t>A confirmation appears titled 'Thank you for your purchase!' with the order id, amount, card number, name and date</t>
        </is>
      </c>
      <c r="J26" s="23" t="inlineStr">
        <is>
          <t>Yes</t>
        </is>
      </c>
      <c r="K26" s="22" t="inlineStr">
        <is>
          <t>tests/ui/cart/place-order.spec.ts › completes an order and reports the correct receipt</t>
        </is>
      </c>
      <c r="L26" s="22" t="inlineStr">
        <is>
          <t>—</t>
        </is>
      </c>
    </row>
    <row r="27" ht="34" customHeight="1">
      <c r="A27" s="24" t="inlineStr">
        <is>
          <t>CRT-026</t>
        </is>
      </c>
      <c r="B27" s="25" t="inlineStr">
        <is>
          <t>Checkout</t>
        </is>
      </c>
      <c r="C27" s="25" t="inlineStr">
        <is>
          <t>Receipt amount equals the cart total</t>
        </is>
      </c>
      <c r="D27" s="25" t="inlineStr">
        <is>
          <t>Functional</t>
        </is>
      </c>
      <c r="E27" s="26" t="inlineStr">
        <is>
          <t>P0</t>
        </is>
      </c>
      <c r="F27" s="25" t="inlineStr">
        <is>
          <t>Cart total is known</t>
        </is>
      </c>
      <c r="G27" s="25" t="inlineStr">
        <is>
          <t>1. Place a valid order
2. Read the Amount line on the receipt</t>
        </is>
      </c>
      <c r="H27" s="25" t="inlineStr">
        <is>
          <t>cart total: 1150</t>
        </is>
      </c>
      <c r="I27" s="25" t="inlineStr">
        <is>
          <t>The receipt reads 'Amount: 1150 USD' — the charged amount matches what the customer agreed to</t>
        </is>
      </c>
      <c r="J27" s="27" t="inlineStr">
        <is>
          <t>Yes</t>
        </is>
      </c>
      <c r="K27" s="25" t="inlineStr">
        <is>
          <t>tests/ui/cart/place-order.spec.ts › completes an order and reports the correct receipt</t>
        </is>
      </c>
      <c r="L27" s="25" t="inlineStr">
        <is>
          <t>—</t>
        </is>
      </c>
    </row>
    <row r="28" ht="48" customHeight="1">
      <c r="A28" s="21" t="inlineStr">
        <is>
          <t>CRT-027</t>
        </is>
      </c>
      <c r="B28" s="22" t="inlineStr">
        <is>
          <t>Checkout</t>
        </is>
      </c>
      <c r="C28" s="22" t="inlineStr">
        <is>
          <t>Receipt echoes the submitted card number and name</t>
        </is>
      </c>
      <c r="D28" s="22" t="inlineStr">
        <is>
          <t>Functional</t>
        </is>
      </c>
      <c r="E28" s="22" t="inlineStr">
        <is>
          <t>P1</t>
        </is>
      </c>
      <c r="F28" s="22" t="inlineStr">
        <is>
          <t>Order modal completed with known values</t>
        </is>
      </c>
      <c r="G28" s="22" t="inlineStr">
        <is>
          <t>1. Place a valid order
2. Compare the receipt fields with the submitted values</t>
        </is>
      </c>
      <c r="H28" s="22" t="inlineStr">
        <is>
          <t>card: 4111111111111111
name: Jane Tester</t>
        </is>
      </c>
      <c r="I28" s="22" t="inlineStr">
        <is>
          <t>Both values appear on the receipt exactly as entered. Note the full PAN is displayed unmasked — raise as a privacy finding</t>
        </is>
      </c>
      <c r="J28" s="23" t="inlineStr">
        <is>
          <t>Yes</t>
        </is>
      </c>
      <c r="K28" s="22" t="inlineStr">
        <is>
          <t>tests/ui/cart/place-order.spec.ts › completes an order and reports the correct receipt</t>
        </is>
      </c>
      <c r="L28" s="31" t="inlineStr">
        <is>
          <t>DEMO-14</t>
        </is>
      </c>
    </row>
    <row r="29" ht="34" customHeight="1">
      <c r="A29" s="24" t="inlineStr">
        <is>
          <t>CRT-028</t>
        </is>
      </c>
      <c r="B29" s="25" t="inlineStr">
        <is>
          <t>Checkout</t>
        </is>
      </c>
      <c r="C29" s="25" t="inlineStr">
        <is>
          <t>Receipt carries a numeric order id</t>
        </is>
      </c>
      <c r="D29" s="25" t="inlineStr">
        <is>
          <t>Functional</t>
        </is>
      </c>
      <c r="E29" s="25" t="inlineStr">
        <is>
          <t>P2</t>
        </is>
      </c>
      <c r="F29" s="25" t="inlineStr">
        <is>
          <t>-</t>
        </is>
      </c>
      <c r="G29" s="25" t="inlineStr">
        <is>
          <t>1. Place a valid order
2. Read the Id line</t>
        </is>
      </c>
      <c r="H29" s="25" t="inlineStr">
        <is>
          <t>-</t>
        </is>
      </c>
      <c r="I29" s="25" t="inlineStr">
        <is>
          <t>The id is a non-empty numeric value the customer could quote to support</t>
        </is>
      </c>
      <c r="J29" s="27" t="inlineStr">
        <is>
          <t>Yes</t>
        </is>
      </c>
      <c r="K29" s="25" t="inlineStr">
        <is>
          <t>tests/ui/cart/place-order.spec.ts › completes an order and reports the correct receipt</t>
        </is>
      </c>
      <c r="L29" s="25" t="inlineStr">
        <is>
          <t>—</t>
        </is>
      </c>
    </row>
    <row r="30" ht="48" customHeight="1">
      <c r="A30" s="21" t="inlineStr">
        <is>
          <t>CRT-029</t>
        </is>
      </c>
      <c r="B30" s="22" t="inlineStr">
        <is>
          <t>Checkout</t>
        </is>
      </c>
      <c r="C30" s="22" t="inlineStr">
        <is>
          <t>Cart is emptied after a successful order (UI)</t>
        </is>
      </c>
      <c r="D30" s="22" t="inlineStr">
        <is>
          <t>Functional</t>
        </is>
      </c>
      <c r="E30" s="28" t="inlineStr">
        <is>
          <t>P0</t>
        </is>
      </c>
      <c r="F30" s="22" t="inlineStr">
        <is>
          <t>Cart contains a product</t>
        </is>
      </c>
      <c r="G30" s="22" t="inlineStr">
        <is>
          <t>1. Place a valid order
2. Confirm the receipt
3. Open the Cart page</t>
        </is>
      </c>
      <c r="H30" s="22" t="inlineStr">
        <is>
          <t>product: Apple monitor 24</t>
        </is>
      </c>
      <c r="I30" s="22" t="inlineStr">
        <is>
          <t>The cart is empty — the ordered goods are not left available to be ordered again</t>
        </is>
      </c>
      <c r="J30" s="23" t="inlineStr">
        <is>
          <t>Yes</t>
        </is>
      </c>
      <c r="K30" s="22" t="inlineStr">
        <is>
          <t>tests/ui/cart/place-order.spec.ts › empties the cart in the UI after a completed order</t>
        </is>
      </c>
      <c r="L30" s="22" t="inlineStr">
        <is>
          <t>—</t>
        </is>
      </c>
    </row>
    <row r="31" ht="34" customHeight="1">
      <c r="A31" s="24" t="inlineStr">
        <is>
          <t>CRT-030</t>
        </is>
      </c>
      <c r="B31" s="25" t="inlineStr">
        <is>
          <t>Checkout</t>
        </is>
      </c>
      <c r="C31" s="25" t="inlineStr">
        <is>
          <t>Cart is emptied after a successful order (server state)</t>
        </is>
      </c>
      <c r="D31" s="25" t="inlineStr">
        <is>
          <t>Functional</t>
        </is>
      </c>
      <c r="E31" s="26" t="inlineStr">
        <is>
          <t>P0</t>
        </is>
      </c>
      <c r="F31" s="25" t="inlineStr">
        <is>
          <t>Cart contains products</t>
        </is>
      </c>
      <c r="G31" s="25" t="inlineStr">
        <is>
          <t>1. Place a valid order
2. Call POST /viewcart with the same token</t>
        </is>
      </c>
      <c r="H31" s="25" t="inlineStr">
        <is>
          <t>-</t>
        </is>
      </c>
      <c r="I31" s="25" t="inlineStr">
        <is>
          <t>The API reports an empty cart — the state is genuinely cleared, not just hidden in the UI</t>
        </is>
      </c>
      <c r="J31" s="27" t="inlineStr">
        <is>
          <t>Yes</t>
        </is>
      </c>
      <c r="K31" s="25" t="inlineStr">
        <is>
          <t>tests/ui/cart/place-order.spec.ts › completes an order and reports the correct receipt</t>
        </is>
      </c>
      <c r="L31" s="25" t="inlineStr">
        <is>
          <t>—</t>
        </is>
      </c>
    </row>
    <row r="32" ht="34" customHeight="1">
      <c r="A32" s="21" t="inlineStr">
        <is>
          <t>CRT-031</t>
        </is>
      </c>
      <c r="B32" s="22" t="inlineStr">
        <is>
          <t>Checkout</t>
        </is>
      </c>
      <c r="C32" s="22" t="inlineStr">
        <is>
          <t>Confirming the receipt returns the user to the catalogue</t>
        </is>
      </c>
      <c r="D32" s="22" t="inlineStr">
        <is>
          <t>Functional</t>
        </is>
      </c>
      <c r="E32" s="22" t="inlineStr">
        <is>
          <t>P2</t>
        </is>
      </c>
      <c r="F32" s="22" t="inlineStr">
        <is>
          <t>A receipt is displayed</t>
        </is>
      </c>
      <c r="G32" s="22" t="inlineStr">
        <is>
          <t>1. Click 'OK' on the receipt</t>
        </is>
      </c>
      <c r="H32" s="22" t="inlineStr">
        <is>
          <t>-</t>
        </is>
      </c>
      <c r="I32" s="22" t="inlineStr">
        <is>
          <t>The browser navigates to the home page</t>
        </is>
      </c>
      <c r="J32" s="23" t="inlineStr">
        <is>
          <t>Yes</t>
        </is>
      </c>
      <c r="K32" s="22" t="inlineStr">
        <is>
          <t>tests/ui/cart/place-order.spec.ts › completes an order and reports the correct receipt</t>
        </is>
      </c>
      <c r="L32" s="22" t="inlineStr">
        <is>
          <t>—</t>
        </is>
      </c>
    </row>
    <row r="33" ht="62" customHeight="1">
      <c r="A33" s="24" t="inlineStr">
        <is>
          <t>CRT-032</t>
        </is>
      </c>
      <c r="B33" s="25" t="inlineStr">
        <is>
          <t>Checkout</t>
        </is>
      </c>
      <c r="C33" s="25" t="inlineStr">
        <is>
          <t>Closing the order modal does not place an order</t>
        </is>
      </c>
      <c r="D33" s="25" t="inlineStr">
        <is>
          <t>Functional</t>
        </is>
      </c>
      <c r="E33" s="25" t="inlineStr">
        <is>
          <t>P1</t>
        </is>
      </c>
      <c r="F33" s="25" t="inlineStr">
        <is>
          <t>Cart contains a product</t>
        </is>
      </c>
      <c r="G33" s="25" t="inlineStr">
        <is>
          <t>1. Open the order modal
2. Fill in the fields
3. Click 'Close' instead of 'Purchase'
4. Re-open the Cart page</t>
        </is>
      </c>
      <c r="H33" s="25" t="inlineStr">
        <is>
          <t>valid details</t>
        </is>
      </c>
      <c r="I33" s="25" t="inlineStr">
        <is>
          <t>No receipt is shown and the cart still contains the product</t>
        </is>
      </c>
      <c r="J33" s="29" t="inlineStr">
        <is>
          <t>No</t>
        </is>
      </c>
      <c r="K33" s="25" t="inlineStr">
        <is>
          <t>—</t>
        </is>
      </c>
      <c r="L33" s="25" t="inlineStr">
        <is>
          <t>—</t>
        </is>
      </c>
    </row>
    <row r="34" ht="48" customHeight="1">
      <c r="A34" s="21" t="inlineStr">
        <is>
          <t>CRT-033</t>
        </is>
      </c>
      <c r="B34" s="22" t="inlineStr">
        <is>
          <t>Validation</t>
        </is>
      </c>
      <c r="C34" s="22" t="inlineStr">
        <is>
          <t>Order without a name is rejected</t>
        </is>
      </c>
      <c r="D34" s="22" t="inlineStr">
        <is>
          <t>Negative</t>
        </is>
      </c>
      <c r="E34" s="28" t="inlineStr">
        <is>
          <t>P0</t>
        </is>
      </c>
      <c r="F34" s="22" t="inlineStr">
        <is>
          <t>Cart contains a product</t>
        </is>
      </c>
      <c r="G34" s="22" t="inlineStr">
        <is>
          <t>1. Open the order modal
2. Leave Name empty, fill the rest
3. Click 'Purchase'</t>
        </is>
      </c>
      <c r="H34" s="22" t="inlineStr">
        <is>
          <t>name: (empty)
card: 4111111111111111</t>
        </is>
      </c>
      <c r="I34" s="22" t="inlineStr">
        <is>
          <t>'Please fill out Name and Creditcard.' is shown, no receipt appears, and the cart is untouched</t>
        </is>
      </c>
      <c r="J34" s="23" t="inlineStr">
        <is>
          <t>Yes</t>
        </is>
      </c>
      <c r="K34" s="22" t="inlineStr">
        <is>
          <t>tests/ui/cart/place-order.spec.ts › rejects an order with no name</t>
        </is>
      </c>
      <c r="L34" s="22" t="inlineStr">
        <is>
          <t>—</t>
        </is>
      </c>
    </row>
    <row r="35" ht="48" customHeight="1">
      <c r="A35" s="24" t="inlineStr">
        <is>
          <t>CRT-034</t>
        </is>
      </c>
      <c r="B35" s="25" t="inlineStr">
        <is>
          <t>Validation</t>
        </is>
      </c>
      <c r="C35" s="25" t="inlineStr">
        <is>
          <t>Order without a credit card is rejected</t>
        </is>
      </c>
      <c r="D35" s="25" t="inlineStr">
        <is>
          <t>Negative</t>
        </is>
      </c>
      <c r="E35" s="26" t="inlineStr">
        <is>
          <t>P0</t>
        </is>
      </c>
      <c r="F35" s="25" t="inlineStr">
        <is>
          <t>Cart contains a product</t>
        </is>
      </c>
      <c r="G35" s="25" t="inlineStr">
        <is>
          <t>1. Open the order modal
2. Leave Credit card empty, fill the rest
3. Click 'Purchase'</t>
        </is>
      </c>
      <c r="H35" s="25" t="inlineStr">
        <is>
          <t>name: Jane Tester
card: (empty)</t>
        </is>
      </c>
      <c r="I35" s="25" t="inlineStr">
        <is>
          <t>'Please fill out Name and Creditcard.' is shown, no receipt appears, and the cart is untouched</t>
        </is>
      </c>
      <c r="J35" s="27" t="inlineStr">
        <is>
          <t>Yes</t>
        </is>
      </c>
      <c r="K35" s="25" t="inlineStr">
        <is>
          <t>tests/ui/cart/place-order.spec.ts › rejects an order with no credit card</t>
        </is>
      </c>
      <c r="L35" s="25" t="inlineStr">
        <is>
          <t>—</t>
        </is>
      </c>
    </row>
    <row r="36" ht="34" customHeight="1">
      <c r="A36" s="21" t="inlineStr">
        <is>
          <t>CRT-035</t>
        </is>
      </c>
      <c r="B36" s="22" t="inlineStr">
        <is>
          <t>Validation</t>
        </is>
      </c>
      <c r="C36" s="22" t="inlineStr">
        <is>
          <t>Order with both required fields empty is rejected</t>
        </is>
      </c>
      <c r="D36" s="22" t="inlineStr">
        <is>
          <t>Negative</t>
        </is>
      </c>
      <c r="E36" s="22" t="inlineStr">
        <is>
          <t>P1</t>
        </is>
      </c>
      <c r="F36" s="22" t="inlineStr">
        <is>
          <t>Cart contains a product</t>
        </is>
      </c>
      <c r="G36" s="22" t="inlineStr">
        <is>
          <t>1. Open the order modal
2. Click 'Purchase' with an empty form</t>
        </is>
      </c>
      <c r="H36" s="22" t="inlineStr">
        <is>
          <t>-</t>
        </is>
      </c>
      <c r="I36" s="22" t="inlineStr">
        <is>
          <t>'Please fill out Name and Creditcard.' is shown and no order is created</t>
        </is>
      </c>
      <c r="J36" s="30" t="inlineStr">
        <is>
          <t>No</t>
        </is>
      </c>
      <c r="K36" s="22" t="inlineStr">
        <is>
          <t>—</t>
        </is>
      </c>
      <c r="L36" s="22" t="inlineStr">
        <is>
          <t>—</t>
        </is>
      </c>
    </row>
    <row r="37" ht="34" customHeight="1">
      <c r="A37" s="24" t="inlineStr">
        <is>
          <t>CRT-036</t>
        </is>
      </c>
      <c r="B37" s="25" t="inlineStr">
        <is>
          <t>Validation</t>
        </is>
      </c>
      <c r="C37" s="25" t="inlineStr">
        <is>
          <t>Country, City, Month and Year are not mandatory</t>
        </is>
      </c>
      <c r="D37" s="25" t="inlineStr">
        <is>
          <t>Edge case</t>
        </is>
      </c>
      <c r="E37" s="25" t="inlineStr">
        <is>
          <t>P2</t>
        </is>
      </c>
      <c r="F37" s="25" t="inlineStr">
        <is>
          <t>Cart contains a product</t>
        </is>
      </c>
      <c r="G37" s="25" t="inlineStr">
        <is>
          <t>1. Fill only Name and Credit card
2. Click 'Purchase'</t>
        </is>
      </c>
      <c r="H37" s="25" t="inlineStr">
        <is>
          <t>name: Jane Tester
card: 4111111111111111</t>
        </is>
      </c>
      <c r="I37" s="25" t="inlineStr">
        <is>
          <t>The order completes. Documented behaviour: only two of the six fields are validated at all</t>
        </is>
      </c>
      <c r="J37" s="27" t="inlineStr">
        <is>
          <t>Yes</t>
        </is>
      </c>
      <c r="K37" s="25" t="inlineStr">
        <is>
          <t>tests/ui/cart/place-order.spec.ts › completes an order and reports the correct receipt</t>
        </is>
      </c>
      <c r="L37" s="25" t="inlineStr">
        <is>
          <t>—</t>
        </is>
      </c>
    </row>
    <row r="38" ht="48" customHeight="1">
      <c r="A38" s="21" t="inlineStr">
        <is>
          <t>CRT-037</t>
        </is>
      </c>
      <c r="B38" s="22" t="inlineStr">
        <is>
          <t>Validation</t>
        </is>
      </c>
      <c r="C38" s="22" t="inlineStr">
        <is>
          <t>Whitespace-only name is accepted</t>
        </is>
      </c>
      <c r="D38" s="22" t="inlineStr">
        <is>
          <t>Edge case</t>
        </is>
      </c>
      <c r="E38" s="22" t="inlineStr">
        <is>
          <t>P1</t>
        </is>
      </c>
      <c r="F38" s="22" t="inlineStr">
        <is>
          <t>Cart contains a product</t>
        </is>
      </c>
      <c r="G38" s="22" t="inlineStr">
        <is>
          <t>1. Enter spaces only in Name
2. Enter a valid card
3. Click 'Purchase'</t>
        </is>
      </c>
      <c r="H38" s="22" t="inlineStr">
        <is>
          <t>name: '   '
card: 4111111111111111</t>
        </is>
      </c>
      <c r="I38" s="22" t="inlineStr">
        <is>
          <t>The order completes — validation checks for an empty string, not for meaningful input. Raised as DEMO-4</t>
        </is>
      </c>
      <c r="J38" s="23" t="inlineStr">
        <is>
          <t>Yes</t>
        </is>
      </c>
      <c r="K38" s="22" t="inlineStr">
        <is>
          <t>tests/ui/cart/place-order.spec.ts › accepts a whitespace-only name — validation is presence-only</t>
        </is>
      </c>
      <c r="L38" s="31" t="inlineStr">
        <is>
          <t>DEMO-4</t>
        </is>
      </c>
    </row>
    <row r="39" ht="48" customHeight="1">
      <c r="A39" s="24" t="inlineStr">
        <is>
          <t>CRT-038</t>
        </is>
      </c>
      <c r="B39" s="25" t="inlineStr">
        <is>
          <t>Validation</t>
        </is>
      </c>
      <c r="C39" s="25" t="inlineStr">
        <is>
          <t>Non-numeric credit card is accepted</t>
        </is>
      </c>
      <c r="D39" s="25" t="inlineStr">
        <is>
          <t>Negative</t>
        </is>
      </c>
      <c r="E39" s="25" t="inlineStr">
        <is>
          <t>P1</t>
        </is>
      </c>
      <c r="F39" s="25" t="inlineStr">
        <is>
          <t>Cart contains a product</t>
        </is>
      </c>
      <c r="G39" s="25" t="inlineStr">
        <is>
          <t>1. Enter a valid name
2. Enter letters in the Credit card field
3. Click 'Purchase'</t>
        </is>
      </c>
      <c r="H39" s="25" t="inlineStr">
        <is>
          <t>card: not-a-card-number</t>
        </is>
      </c>
      <c r="I39" s="25" t="inlineStr">
        <is>
          <t>The order completes with the text echoed on the receipt — there is no card format or Luhn validation. Raised as DEMO-4</t>
        </is>
      </c>
      <c r="J39" s="27" t="inlineStr">
        <is>
          <t>Yes</t>
        </is>
      </c>
      <c r="K39" s="25" t="inlineStr">
        <is>
          <t>tests/ui/cart/place-order.spec.ts › accepts a non-numeric credit card — no format validation</t>
        </is>
      </c>
      <c r="L39" s="31" t="inlineStr">
        <is>
          <t>DEMO-4</t>
        </is>
      </c>
    </row>
    <row r="40" ht="62" customHeight="1">
      <c r="A40" s="21" t="inlineStr">
        <is>
          <t>CRT-039</t>
        </is>
      </c>
      <c r="B40" s="22" t="inlineStr">
        <is>
          <t>Validation</t>
        </is>
      </c>
      <c r="C40" s="22" t="inlineStr">
        <is>
          <t>An empty cart can be checked out for zero</t>
        </is>
      </c>
      <c r="D40" s="22" t="inlineStr">
        <is>
          <t>Negative</t>
        </is>
      </c>
      <c r="E40" s="28" t="inlineStr">
        <is>
          <t>P0</t>
        </is>
      </c>
      <c r="F40" s="22" t="inlineStr">
        <is>
          <t>User is logged in with an empty cart</t>
        </is>
      </c>
      <c r="G40" s="22" t="inlineStr">
        <is>
          <t>1. Open the Cart page with no items
2. Click 'Place Order'
3. Fill Name and Credit card
4. Click 'Purchase'</t>
        </is>
      </c>
      <c r="H40" s="22" t="inlineStr">
        <is>
          <t>name: Jane Tester
card: 4111111111111111</t>
        </is>
      </c>
      <c r="I40" s="22" t="inlineStr">
        <is>
          <t>Expected: checkout is blocked for an empty cart. Actual: a receipt is issued for 'Amount: 0 USD' with a real order id. Raised as DEMO-3</t>
        </is>
      </c>
      <c r="J40" s="23" t="inlineStr">
        <is>
          <t>Yes</t>
        </is>
      </c>
      <c r="K40" s="22" t="inlineStr">
        <is>
          <t>tests/ui/cart/place-order.spec.ts › accepts an order for an empty cart at zero value</t>
        </is>
      </c>
      <c r="L40" s="31" t="inlineStr">
        <is>
          <t>DEMO-3</t>
        </is>
      </c>
    </row>
    <row r="41" ht="48" customHeight="1">
      <c r="A41" s="24" t="inlineStr">
        <is>
          <t>CRT-040</t>
        </is>
      </c>
      <c r="B41" s="25" t="inlineStr">
        <is>
          <t>Validation</t>
        </is>
      </c>
      <c r="C41" s="25" t="inlineStr">
        <is>
          <t>Invalid expiry month and year are accepted</t>
        </is>
      </c>
      <c r="D41" s="25" t="inlineStr">
        <is>
          <t>Edge case</t>
        </is>
      </c>
      <c r="E41" s="25" t="inlineStr">
        <is>
          <t>P2</t>
        </is>
      </c>
      <c r="F41" s="25" t="inlineStr">
        <is>
          <t>Cart contains a product</t>
        </is>
      </c>
      <c r="G41" s="25" t="inlineStr">
        <is>
          <t>1. Enter month 13 and a year in the past
2. Complete the remaining required fields
3. Click 'Purchase'</t>
        </is>
      </c>
      <c r="H41" s="25" t="inlineStr">
        <is>
          <t>month: 13
year: 1999</t>
        </is>
      </c>
      <c r="I41" s="25" t="inlineStr">
        <is>
          <t>The order completes — expiry values are neither range-checked nor compared against the current date</t>
        </is>
      </c>
      <c r="J41" s="29" t="inlineStr">
        <is>
          <t>No</t>
        </is>
      </c>
      <c r="K41" s="25" t="inlineStr">
        <is>
          <t>—</t>
        </is>
      </c>
      <c r="L41" s="25" t="inlineStr">
        <is>
          <t>—</t>
        </is>
      </c>
    </row>
    <row r="42" ht="34" customHeight="1">
      <c r="A42" s="21" t="inlineStr">
        <is>
          <t>CRT-041</t>
        </is>
      </c>
      <c r="B42" s="22" t="inlineStr">
        <is>
          <t>Internationalisation</t>
        </is>
      </c>
      <c r="C42" s="22" t="inlineStr">
        <is>
          <t>Unicode customer name is preserved on the receipt</t>
        </is>
      </c>
      <c r="D42" s="22" t="inlineStr">
        <is>
          <t>Edge case</t>
        </is>
      </c>
      <c r="E42" s="22" t="inlineStr">
        <is>
          <t>P2</t>
        </is>
      </c>
      <c r="F42" s="22" t="inlineStr">
        <is>
          <t>Cart contains a product</t>
        </is>
      </c>
      <c r="G42" s="22" t="inlineStr">
        <is>
          <t>1. Enter a Unicode name
2. Complete the order</t>
        </is>
      </c>
      <c r="H42" s="22" t="inlineStr">
        <is>
          <t>name: Nguyễn Văn Ánh 山田太郎</t>
        </is>
      </c>
      <c r="I42" s="22" t="inlineStr">
        <is>
          <t>The receipt shows the name exactly as entered, with no mojibake or stripped characters</t>
        </is>
      </c>
      <c r="J42" s="23" t="inlineStr">
        <is>
          <t>Yes</t>
        </is>
      </c>
      <c r="K42" s="22" t="inlineStr">
        <is>
          <t>tests/ui/cart/place-order.spec.ts › preserves unicode characters in the customer name</t>
        </is>
      </c>
      <c r="L42" s="22" t="inlineStr">
        <is>
          <t>—</t>
        </is>
      </c>
    </row>
    <row r="43" ht="34" customHeight="1">
      <c r="A43" s="24" t="inlineStr">
        <is>
          <t>CRT-042</t>
        </is>
      </c>
      <c r="B43" s="25" t="inlineStr">
        <is>
          <t>Boundary</t>
        </is>
      </c>
      <c r="C43" s="25" t="inlineStr">
        <is>
          <t>Very long customer name is handled</t>
        </is>
      </c>
      <c r="D43" s="25" t="inlineStr">
        <is>
          <t>Edge case</t>
        </is>
      </c>
      <c r="E43" s="25" t="inlineStr">
        <is>
          <t>P2</t>
        </is>
      </c>
      <c r="F43" s="25" t="inlineStr">
        <is>
          <t>Cart contains a product</t>
        </is>
      </c>
      <c r="G43" s="25" t="inlineStr">
        <is>
          <t>1. Enter a 256-character name
2. Complete the order</t>
        </is>
      </c>
      <c r="H43" s="25" t="inlineStr">
        <is>
          <t>name: 'A' x 256</t>
        </is>
      </c>
      <c r="I43" s="25" t="inlineStr">
        <is>
          <t>The order completes and the receipt renders without breaking the dialog layout</t>
        </is>
      </c>
      <c r="J43" s="29" t="inlineStr">
        <is>
          <t>No</t>
        </is>
      </c>
      <c r="K43" s="25" t="inlineStr">
        <is>
          <t>—</t>
        </is>
      </c>
      <c r="L43" s="25" t="inlineStr">
        <is>
          <t>—</t>
        </is>
      </c>
    </row>
    <row r="44" ht="48" customHeight="1">
      <c r="A44" s="21" t="inlineStr">
        <is>
          <t>CRT-043</t>
        </is>
      </c>
      <c r="B44" s="22" t="inlineStr">
        <is>
          <t>Security</t>
        </is>
      </c>
      <c r="C44" s="22" t="inlineStr">
        <is>
          <t>XSS payload in the name is not executed on the receipt</t>
        </is>
      </c>
      <c r="D44" s="22" t="inlineStr">
        <is>
          <t>Security</t>
        </is>
      </c>
      <c r="E44" s="22" t="inlineStr">
        <is>
          <t>P1</t>
        </is>
      </c>
      <c r="F44" s="22" t="inlineStr">
        <is>
          <t>Cart contains a product</t>
        </is>
      </c>
      <c r="G44" s="22" t="inlineStr">
        <is>
          <t>1. Enter a script payload as the Name
2. Complete the order
3. Observe the receipt</t>
        </is>
      </c>
      <c r="H44" s="22" t="inlineStr">
        <is>
          <t>name: &lt;img src=x onerror=alert(1)&gt;</t>
        </is>
      </c>
      <c r="I44" s="22" t="inlineStr">
        <is>
          <t>The payload is rendered as text; no script executes and no element is injected into the receipt</t>
        </is>
      </c>
      <c r="J44" s="30" t="inlineStr">
        <is>
          <t>No</t>
        </is>
      </c>
      <c r="K44" s="22" t="inlineStr">
        <is>
          <t>—</t>
        </is>
      </c>
      <c r="L44" s="22" t="inlineStr">
        <is>
          <t>—</t>
        </is>
      </c>
    </row>
    <row r="45" ht="48" customHeight="1">
      <c r="A45" s="24" t="inlineStr">
        <is>
          <t>CRT-044</t>
        </is>
      </c>
      <c r="B45" s="25" t="inlineStr">
        <is>
          <t>Checkout</t>
        </is>
      </c>
      <c r="C45" s="25" t="inlineStr">
        <is>
          <t>Receipt date shows the correct calendar month</t>
        </is>
      </c>
      <c r="D45" s="25" t="inlineStr">
        <is>
          <t>Functional</t>
        </is>
      </c>
      <c r="E45" s="25" t="inlineStr">
        <is>
          <t>P1</t>
        </is>
      </c>
      <c r="F45" s="25" t="inlineStr">
        <is>
          <t>Cart contains a product</t>
        </is>
      </c>
      <c r="G45" s="25" t="inlineStr">
        <is>
          <t>1. Place a valid order on a known date
2. Read the Date line on the receipt</t>
        </is>
      </c>
      <c r="H45" s="25" t="inlineStr">
        <is>
          <t>order placed 04/09/2026</t>
        </is>
      </c>
      <c r="I45" s="25" t="inlineStr">
        <is>
          <t>Expected 'Date: 4/9/2026'. Actual '4/8/2026' — the month is one behind because the app uses a zero-indexed getMonth(). Raised as DEMO-1</t>
        </is>
      </c>
      <c r="J45" s="27" t="inlineStr">
        <is>
          <t>Yes</t>
        </is>
      </c>
      <c r="K45" s="25" t="inlineStr">
        <is>
          <t>tests/ui/cart/place-order.spec.ts › receipt shows the correct calendar month @bug</t>
        </is>
      </c>
      <c r="L45" s="31" t="inlineStr">
        <is>
          <t>DEMO-1</t>
        </is>
      </c>
    </row>
    <row r="46" ht="48" customHeight="1">
      <c r="A46" s="21" t="inlineStr">
        <is>
          <t>CRT-045</t>
        </is>
      </c>
      <c r="B46" s="22" t="inlineStr">
        <is>
          <t>Checkout</t>
        </is>
      </c>
      <c r="C46" s="22" t="inlineStr">
        <is>
          <t>Checkout is possible while logged out</t>
        </is>
      </c>
      <c r="D46" s="22" t="inlineStr">
        <is>
          <t>Edge case</t>
        </is>
      </c>
      <c r="E46" s="22" t="inlineStr">
        <is>
          <t>P1</t>
        </is>
      </c>
      <c r="F46" s="22" t="inlineStr">
        <is>
          <t>User is logged out with an anonymous cart</t>
        </is>
      </c>
      <c r="G46" s="22" t="inlineStr">
        <is>
          <t>1. Add a product while logged out
2. Open the Cart page
3. Complete the order form and purchase</t>
        </is>
      </c>
      <c r="H46" s="22" t="inlineStr">
        <is>
          <t>name: Jane Tester
card: 4111111111111111</t>
        </is>
      </c>
      <c r="I46" s="22" t="inlineStr">
        <is>
          <t>Documented behaviour: an anonymous purchase is accepted with no account. Confirm this is intended for the business, since the order cannot be tied to a customer</t>
        </is>
      </c>
      <c r="J46" s="30" t="inlineStr">
        <is>
          <t>No</t>
        </is>
      </c>
      <c r="K46" s="22" t="inlineStr">
        <is>
          <t>—</t>
        </is>
      </c>
      <c r="L46" s="22" t="inlineStr">
        <is>
          <t>—</t>
        </is>
      </c>
    </row>
    <row r="47" ht="34" customHeight="1">
      <c r="A47" s="24" t="inlineStr">
        <is>
          <t>CRT-046</t>
        </is>
      </c>
      <c r="B47" s="25" t="inlineStr">
        <is>
          <t>Checkout</t>
        </is>
      </c>
      <c r="C47" s="25" t="inlineStr">
        <is>
          <t>Double-clicking Purchase does not create two orders</t>
        </is>
      </c>
      <c r="D47" s="25" t="inlineStr">
        <is>
          <t>Edge case</t>
        </is>
      </c>
      <c r="E47" s="25" t="inlineStr">
        <is>
          <t>P1</t>
        </is>
      </c>
      <c r="F47" s="25" t="inlineStr">
        <is>
          <t>Order modal is complete</t>
        </is>
      </c>
      <c r="G47" s="25" t="inlineStr">
        <is>
          <t>1. Fill the order form
2. Double-click 'Purchase' rapidly</t>
        </is>
      </c>
      <c r="H47" s="25" t="inlineStr">
        <is>
          <t>valid details</t>
        </is>
      </c>
      <c r="I47" s="25" t="inlineStr">
        <is>
          <t>Only one confirmation and one order id result; the cart is cleared once</t>
        </is>
      </c>
      <c r="J47" s="29" t="inlineStr">
        <is>
          <t>No</t>
        </is>
      </c>
      <c r="K47" s="25" t="inlineStr">
        <is>
          <t>—</t>
        </is>
      </c>
      <c r="L47" s="25" t="inlineStr">
        <is>
          <t>—</t>
        </is>
      </c>
    </row>
    <row r="48" ht="48" customHeight="1">
      <c r="A48" s="21" t="inlineStr">
        <is>
          <t>CRT-047</t>
        </is>
      </c>
      <c r="B48" s="22" t="inlineStr">
        <is>
          <t>Checkout</t>
        </is>
      </c>
      <c r="C48" s="22" t="inlineStr">
        <is>
          <t>Card number with spaces or dashes is handled</t>
        </is>
      </c>
      <c r="D48" s="22" t="inlineStr">
        <is>
          <t>Edge case</t>
        </is>
      </c>
      <c r="E48" s="22" t="inlineStr">
        <is>
          <t>P2</t>
        </is>
      </c>
      <c r="F48" s="22" t="inlineStr">
        <is>
          <t>Cart contains a product</t>
        </is>
      </c>
      <c r="G48" s="22" t="inlineStr">
        <is>
          <t>1. Enter a card number containing spaces and dashes
2. Complete the order</t>
        </is>
      </c>
      <c r="H48" s="22" t="inlineStr">
        <is>
          <t>card: 4111-1111 1111-1111</t>
        </is>
      </c>
      <c r="I48" s="22" t="inlineStr">
        <is>
          <t>The order completes and the receipt echoes the value as entered — no normalisation is applied</t>
        </is>
      </c>
      <c r="J48" s="30" t="inlineStr">
        <is>
          <t>No</t>
        </is>
      </c>
      <c r="K48" s="22" t="inlineStr">
        <is>
          <t>—</t>
        </is>
      </c>
      <c r="L48" s="22" t="inlineStr">
        <is>
          <t>—</t>
        </is>
      </c>
    </row>
    <row r="49" ht="62" customHeight="1">
      <c r="A49" s="24" t="inlineStr">
        <is>
          <t>CRT-048</t>
        </is>
      </c>
      <c r="B49" s="25" t="inlineStr">
        <is>
          <t>Resilience</t>
        </is>
      </c>
      <c r="C49" s="25" t="inlineStr">
        <is>
          <t>Checkout when the API is unreachable</t>
        </is>
      </c>
      <c r="D49" s="25" t="inlineStr">
        <is>
          <t>Negative</t>
        </is>
      </c>
      <c r="E49" s="25" t="inlineStr">
        <is>
          <t>P1</t>
        </is>
      </c>
      <c r="F49" s="25" t="inlineStr">
        <is>
          <t>Cart contains a product</t>
        </is>
      </c>
      <c r="G49" s="25" t="inlineStr">
        <is>
          <t>1. Block requests to api.demoblaze.com
2. Complete and submit the order form</t>
        </is>
      </c>
      <c r="H49" s="25" t="inlineStr">
        <is>
          <t>valid details</t>
        </is>
      </c>
      <c r="I49" s="25" t="inlineStr">
        <is>
          <t>Expected: the customer is told the order failed. Actual: the confirmation is shown regardless because it is rendered client-side before the server responds. Raise as a finding</t>
        </is>
      </c>
      <c r="J49" s="29" t="inlineStr">
        <is>
          <t>No</t>
        </is>
      </c>
      <c r="K49" s="25" t="inlineStr">
        <is>
          <t>—</t>
        </is>
      </c>
      <c r="L49" s="31" t="inlineStr">
        <is>
          <t>DEMO-15</t>
        </is>
      </c>
    </row>
    <row r="50" ht="62" customHeight="1">
      <c r="A50" s="21" t="inlineStr">
        <is>
          <t>CRT-049</t>
        </is>
      </c>
      <c r="B50" s="22" t="inlineStr">
        <is>
          <t>Catalogue</t>
        </is>
      </c>
      <c r="C50" s="22" t="inlineStr">
        <is>
          <t>Category filters return only that category</t>
        </is>
      </c>
      <c r="D50" s="22" t="inlineStr">
        <is>
          <t>Functional</t>
        </is>
      </c>
      <c r="E50" s="22" t="inlineStr">
        <is>
          <t>P2</t>
        </is>
      </c>
      <c r="F50" s="22" t="inlineStr">
        <is>
          <t>-</t>
        </is>
      </c>
      <c r="G50" s="22" t="inlineStr">
        <is>
          <t>1. Click Phones, then Laptops, then Monitors
2. Inspect the returned products</t>
        </is>
      </c>
      <c r="H50" s="22" t="inlineStr">
        <is>
          <t>categories: phone, notebook, monitor</t>
        </is>
      </c>
      <c r="I50" s="22" t="inlineStr">
        <is>
          <t>Each filter returns a non-empty set and no product from another category leaks in. Note the three category links share id='itemc' (DEMO-7), so they must be selected by role and text</t>
        </is>
      </c>
      <c r="J50" s="23" t="inlineStr">
        <is>
          <t>Yes</t>
        </is>
      </c>
      <c r="K50" s="22" t="inlineStr">
        <is>
          <t>tests/api/catalog.api.spec.ts › filters by category without leaking other categories</t>
        </is>
      </c>
      <c r="L50" s="31" t="inlineStr">
        <is>
          <t>DEMO-7</t>
        </is>
      </c>
    </row>
    <row r="51" ht="76" customHeight="1">
      <c r="A51" s="24" t="inlineStr">
        <is>
          <t>CRT-050</t>
        </is>
      </c>
      <c r="B51" s="25" t="inlineStr">
        <is>
          <t>Catalogue</t>
        </is>
      </c>
      <c r="C51" s="25" t="inlineStr">
        <is>
          <t>The catalogue listing endpoint is paginated</t>
        </is>
      </c>
      <c r="D51" s="25" t="inlineStr">
        <is>
          <t>Edge case</t>
        </is>
      </c>
      <c r="E51" s="25" t="inlineStr">
        <is>
          <t>P2</t>
        </is>
      </c>
      <c r="F51" s="25" t="inlineStr">
        <is>
          <t>-</t>
        </is>
      </c>
      <c r="G51" s="25" t="inlineStr">
        <is>
          <t>1. Call GET /entries
2. Compare against the union of the three category queries</t>
        </is>
      </c>
      <c r="H51" s="25" t="inlineStr">
        <is>
          <t>-</t>
        </is>
      </c>
      <c r="I51" s="25" t="inlineStr">
        <is>
          <t>/entries returns only the first 9 of 15 products. Any test or client that treats it as the whole catalogue will miss every monitor — documented in docs/api-contract.md. One title also carries a trailing newline (DEMO-8), so title comparisons must be trimmed</t>
        </is>
      </c>
      <c r="J51" s="27" t="inlineStr">
        <is>
          <t>Yes</t>
        </is>
      </c>
      <c r="K51" s="25" t="inlineStr">
        <is>
          <t>tests/api/catalog.api.spec.ts › returns a non-empty product list</t>
        </is>
      </c>
      <c r="L51" s="31" t="inlineStr">
        <is>
          <t>DEMO-8</t>
        </is>
      </c>
    </row>
  </sheetData>
  <autoFilter ref="A1:L1"/>
  <dataValidations count="3">
    <dataValidation sqref="D2:D51" showDropDown="0" showInputMessage="0" showErrorMessage="0" allowBlank="0" type="list">
      <formula1>"Functional,Negative,Edge case,Security,UI"</formula1>
    </dataValidation>
    <dataValidation sqref="E2:E51" showDropDown="0" showInputMessage="0" showErrorMessage="0" allowBlank="0" type="list">
      <formula1>"P0,P1,P2"</formula1>
    </dataValidation>
    <dataValidation sqref="J2:J5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1" customWidth="1" min="4" max="4"/>
    <col width="9" customWidth="1" min="5" max="5"/>
    <col width="46" customWidth="1" min="6" max="6"/>
    <col width="72" customWidth="1" min="7" max="7"/>
    <col width="20" customWidth="1" min="8" max="8"/>
    <col width="60" customWidth="1" min="9" max="9"/>
  </cols>
  <sheetData>
    <row r="1" ht="26" customHeight="1">
      <c r="A1" s="20" t="inlineStr">
        <is>
          <t>Defect ID</t>
        </is>
      </c>
      <c r="B1" s="20" t="inlineStr">
        <is>
          <t>Area</t>
        </is>
      </c>
      <c r="C1" s="20" t="inlineStr">
        <is>
          <t>Severity</t>
        </is>
      </c>
      <c r="D1" s="20" t="inlineStr">
        <is>
          <t>Likelihood</t>
        </is>
      </c>
      <c r="E1" s="20" t="inlineStr">
        <is>
          <t>Status</t>
        </is>
      </c>
      <c r="F1" s="20" t="inlineStr">
        <is>
          <t>Summary</t>
        </is>
      </c>
      <c r="G1" s="20" t="inlineStr">
        <is>
          <t>Detail</t>
        </is>
      </c>
      <c r="H1" s="20" t="inlineStr">
        <is>
          <t>Test Case ID</t>
        </is>
      </c>
      <c r="I1" s="20" t="inlineStr">
        <is>
          <t>Pinned By</t>
        </is>
      </c>
    </row>
    <row r="2">
      <c r="A2" s="21" t="inlineStr">
        <is>
          <t>DEMO-1</t>
        </is>
      </c>
      <c r="B2" s="22" t="inlineStr">
        <is>
          <t>Checkout</t>
        </is>
      </c>
      <c r="C2" s="32" t="inlineStr">
        <is>
          <t>Medium</t>
        </is>
      </c>
      <c r="D2" s="22" t="inlineStr">
        <is>
          <t>Low</t>
        </is>
      </c>
      <c r="E2" s="22" t="inlineStr">
        <is>
          <t>Open</t>
        </is>
      </c>
      <c r="F2" s="22" t="inlineStr">
        <is>
          <t>Receipt date is one month early</t>
        </is>
      </c>
      <c r="G2" s="22" t="inlineStr">
        <is>
          <t>The receipt is built with Date.getMonth(), which is zero-indexed, so every order confirmation is dated one month in the past.</t>
        </is>
      </c>
      <c r="H2" s="22" t="inlineStr">
        <is>
          <t>CRT-044</t>
        </is>
      </c>
      <c r="I2" s="22" t="inlineStr">
        <is>
          <t>tests/ui/cart/place-order.spec.ts › receipt shows the correct calendar month @bug</t>
        </is>
      </c>
    </row>
    <row r="3">
      <c r="A3" s="24" t="inlineStr">
        <is>
          <t>DEMO-2</t>
        </is>
      </c>
      <c r="B3" s="25" t="inlineStr">
        <is>
          <t>API</t>
        </is>
      </c>
      <c r="C3" s="26" t="inlineStr">
        <is>
          <t>High</t>
        </is>
      </c>
      <c r="D3" s="25" t="inlineStr">
        <is>
          <t>Medium</t>
        </is>
      </c>
      <c r="E3" s="25" t="inlineStr">
        <is>
          <t>Open</t>
        </is>
      </c>
      <c r="F3" s="25" t="inlineStr">
        <is>
          <t>POST /login returns HTTP 500 with an HTML body for an empty username</t>
        </is>
      </c>
      <c r="G3" s="25" t="inlineStr">
        <is>
          <t>An empty username is not validated server-side; the endpoint raises and returns an HTML error page. Any client calling response.json() receives an opaque SyntaxError instead of a handled rejection.</t>
        </is>
      </c>
      <c r="H3" s="25" t="inlineStr">
        <is>
          <t>LGN-025</t>
        </is>
      </c>
      <c r="I3" s="25" t="inlineStr">
        <is>
          <t>tests/api/auth.api.spec.ts › rejects a login with an empty username @bug</t>
        </is>
      </c>
    </row>
    <row r="4">
      <c r="A4" s="21" t="inlineStr">
        <is>
          <t>DEMO-3</t>
        </is>
      </c>
      <c r="B4" s="22" t="inlineStr">
        <is>
          <t>Checkout</t>
        </is>
      </c>
      <c r="C4" s="28" t="inlineStr">
        <is>
          <t>High</t>
        </is>
      </c>
      <c r="D4" s="22" t="inlineStr">
        <is>
          <t>Medium</t>
        </is>
      </c>
      <c r="E4" s="22" t="inlineStr">
        <is>
          <t>Open</t>
        </is>
      </c>
      <c r="F4" s="22" t="inlineStr">
        <is>
          <t>An empty cart can be checked out for 0 USD</t>
        </is>
      </c>
      <c r="G4" s="22" t="inlineStr">
        <is>
          <t>Placing an order with no items in the cart succeeds and issues a real order id for a zero amount. Creates junk orders and a fulfilment ambiguity.</t>
        </is>
      </c>
      <c r="H4" s="22" t="inlineStr">
        <is>
          <t>CRT-039</t>
        </is>
      </c>
      <c r="I4" s="22" t="inlineStr">
        <is>
          <t>tests/ui/cart/place-order.spec.ts › accepts an order for an empty cart at zero value</t>
        </is>
      </c>
    </row>
    <row r="5">
      <c r="A5" s="24" t="inlineStr">
        <is>
          <t>DEMO-4</t>
        </is>
      </c>
      <c r="B5" s="25" t="inlineStr">
        <is>
          <t>Checkout</t>
        </is>
      </c>
      <c r="C5" s="33" t="inlineStr">
        <is>
          <t>Medium</t>
        </is>
      </c>
      <c r="D5" s="25" t="inlineStr">
        <is>
          <t>High</t>
        </is>
      </c>
      <c r="E5" s="25" t="inlineStr">
        <is>
          <t>Open</t>
        </is>
      </c>
      <c r="F5" s="25" t="inlineStr">
        <is>
          <t>Order validation is presence-only</t>
        </is>
      </c>
      <c r="G5" s="25" t="inlineStr">
        <is>
          <t>Name and Credit card are checked for a non-empty string only. Whitespace-only names and non-numeric card numbers are accepted, and expiry values are never range-checked.</t>
        </is>
      </c>
      <c r="H5" s="25" t="inlineStr">
        <is>
          <t>CRT-037, CRT-038, CRT-040</t>
        </is>
      </c>
      <c r="I5" s="25" t="inlineStr">
        <is>
          <t>tests/ui/cart/place-order.spec.ts › accepts a whitespace-only name / accepts a non-numeric credit card</t>
        </is>
      </c>
    </row>
    <row r="6">
      <c r="A6" s="21" t="inlineStr">
        <is>
          <t>DEMO-5</t>
        </is>
      </c>
      <c r="B6" s="22" t="inlineStr">
        <is>
          <t>Security</t>
        </is>
      </c>
      <c r="C6" s="32" t="inlineStr">
        <is>
          <t>Medium</t>
        </is>
      </c>
      <c r="D6" s="22" t="inlineStr">
        <is>
          <t>High</t>
        </is>
      </c>
      <c r="E6" s="22" t="inlineStr">
        <is>
          <t>Open</t>
        </is>
      </c>
      <c r="F6" s="22" t="inlineStr">
        <is>
          <t>Login error wording allows username enumeration</t>
        </is>
      </c>
      <c r="G6" s="22" t="inlineStr">
        <is>
          <t>'Wrong password.' and 'User does not exist.' are distinguishable, letting an attacker confirm which usernames are registered before attempting credentials.</t>
        </is>
      </c>
      <c r="H6" s="22" t="inlineStr">
        <is>
          <t>LGN-031</t>
        </is>
      </c>
      <c r="I6" s="22" t="inlineStr">
        <is>
          <t>tests/ui/login/login.negative.spec.ts › does not leak whether an account exists</t>
        </is>
      </c>
    </row>
    <row r="7">
      <c r="A7" s="24" t="inlineStr">
        <is>
          <t>DEMO-6</t>
        </is>
      </c>
      <c r="B7" s="25" t="inlineStr">
        <is>
          <t>Cart</t>
        </is>
      </c>
      <c r="C7" s="34" t="inlineStr">
        <is>
          <t>Low</t>
        </is>
      </c>
      <c r="D7" s="25" t="inlineStr">
        <is>
          <t>Medium</t>
        </is>
      </c>
      <c r="E7" s="25" t="inlineStr">
        <is>
          <t>Open</t>
        </is>
      </c>
      <c r="F7" s="25" t="inlineStr">
        <is>
          <t>Anonymous cart is discarded on login rather than merged</t>
        </is>
      </c>
      <c r="G7" s="25" t="inlineStr">
        <is>
          <t>Items added while logged out are silently lost when the user authenticates, so a customer who signs in to check out loses their basket.</t>
        </is>
      </c>
      <c r="H7" s="25" t="inlineStr">
        <is>
          <t>CRT-008</t>
        </is>
      </c>
      <c r="I7" s="25" t="inlineStr">
        <is>
          <t>tests/ui/cart/add-to-cart.spec.ts › does not carry an anonymous cart into the session after login</t>
        </is>
      </c>
    </row>
    <row r="8">
      <c r="A8" s="21" t="inlineStr">
        <is>
          <t>DEMO-7</t>
        </is>
      </c>
      <c r="B8" s="22" t="inlineStr">
        <is>
          <t>Frontend</t>
        </is>
      </c>
      <c r="C8" s="35" t="inlineStr">
        <is>
          <t>Low</t>
        </is>
      </c>
      <c r="D8" s="22" t="inlineStr">
        <is>
          <t>Low</t>
        </is>
      </c>
      <c r="E8" s="22" t="inlineStr">
        <is>
          <t>Open</t>
        </is>
      </c>
      <c r="F8" s="22" t="inlineStr">
        <is>
          <t>Duplicate DOM ids on the category links</t>
        </is>
      </c>
      <c r="G8" s="22" t="inlineStr">
        <is>
          <t>The Phones, Laptops and Monitors links all use id='itemc'. Invalid HTML; breaks any id-based selector and assistive technology that relies on unique ids.</t>
        </is>
      </c>
      <c r="H8" s="22" t="inlineStr">
        <is>
          <t>CRT-049</t>
        </is>
      </c>
      <c r="I8" s="22" t="inlineStr">
        <is>
          <t>Locator strategy in src/pages/home.page.ts</t>
        </is>
      </c>
    </row>
    <row r="9">
      <c r="A9" s="24" t="inlineStr">
        <is>
          <t>DEMO-8</t>
        </is>
      </c>
      <c r="B9" s="25" t="inlineStr">
        <is>
          <t>Data</t>
        </is>
      </c>
      <c r="C9" s="34" t="inlineStr">
        <is>
          <t>Low</t>
        </is>
      </c>
      <c r="D9" s="25" t="inlineStr">
        <is>
          <t>Low</t>
        </is>
      </c>
      <c r="E9" s="25" t="inlineStr">
        <is>
          <t>Open</t>
        </is>
      </c>
      <c r="F9" s="25" t="inlineStr">
        <is>
          <t>Product title contains a trailing newline</t>
        </is>
      </c>
      <c r="G9" s="25" t="inlineStr">
        <is>
          <t>The catalogue returns 'Sony vaio i7\n'. Leaks into search, display and any exact-match comparison.</t>
        </is>
      </c>
      <c r="H9" s="25" t="inlineStr">
        <is>
          <t>CRT-050</t>
        </is>
      </c>
      <c r="I9" s="25" t="inlineStr">
        <is>
          <t>Trimmed comparison in src/api/demoblaze.client.ts</t>
        </is>
      </c>
    </row>
    <row r="10">
      <c r="A10" s="21" t="inlineStr">
        <is>
          <t>DEMO-9</t>
        </is>
      </c>
      <c r="B10" s="22" t="inlineStr">
        <is>
          <t>Frontend</t>
        </is>
      </c>
      <c r="C10" s="35" t="inlineStr">
        <is>
          <t>Low</t>
        </is>
      </c>
      <c r="D10" s="22" t="inlineStr">
        <is>
          <t>Low</t>
        </is>
      </c>
      <c r="E10" s="22" t="inlineStr">
        <is>
          <t>Open</t>
        </is>
      </c>
      <c r="F10" s="22" t="inlineStr">
        <is>
          <t>Inconsistent add-to-cart confirmation text</t>
        </is>
      </c>
      <c r="G10" s="22" t="inlineStr">
        <is>
          <t>'Product added.' when logged in versus 'Product added' when logged out — two code paths with diverging copy.</t>
        </is>
      </c>
      <c r="H10" s="22" t="inlineStr">
        <is>
          <t>CRT-007</t>
        </is>
      </c>
      <c r="I10" s="22" t="inlineStr">
        <is>
          <t>tests/ui/cart/add-to-cart.spec.ts › does not carry an anonymous cart into the session after login</t>
        </is>
      </c>
    </row>
    <row r="11">
      <c r="A11" s="24" t="inlineStr">
        <is>
          <t>DEMO-10</t>
        </is>
      </c>
      <c r="B11" s="25" t="inlineStr">
        <is>
          <t>Login</t>
        </is>
      </c>
      <c r="C11" s="34" t="inlineStr">
        <is>
          <t>Low</t>
        </is>
      </c>
      <c r="D11" s="25" t="inlineStr">
        <is>
          <t>High</t>
        </is>
      </c>
      <c r="E11" s="25" t="inlineStr">
        <is>
          <t>Open</t>
        </is>
      </c>
      <c r="F11" s="25" t="inlineStr">
        <is>
          <t>Enter key does not submit the login form</t>
        </is>
      </c>
      <c r="G11" s="25" t="inlineStr">
        <is>
          <t>The login modal binds no submit handler to the Enter key, so keyboard users must reach for the mouse.</t>
        </is>
      </c>
      <c r="H11" s="25" t="inlineStr">
        <is>
          <t>LGN-016</t>
        </is>
      </c>
      <c r="I11" s="25" t="inlineStr">
        <is>
          <t>Manual</t>
        </is>
      </c>
    </row>
    <row r="12">
      <c r="A12" s="21" t="inlineStr">
        <is>
          <t>DEMO-11</t>
        </is>
      </c>
      <c r="B12" s="22" t="inlineStr">
        <is>
          <t>Security</t>
        </is>
      </c>
      <c r="C12" s="28" t="inlineStr">
        <is>
          <t>High</t>
        </is>
      </c>
      <c r="D12" s="22" t="inlineStr">
        <is>
          <t>Medium</t>
        </is>
      </c>
      <c r="E12" s="22" t="inlineStr">
        <is>
          <t>Open</t>
        </is>
      </c>
      <c r="F12" s="22" t="inlineStr">
        <is>
          <t>No rate limiting or lockout on failed logins</t>
        </is>
      </c>
      <c r="G12" s="22" t="inlineStr">
        <is>
          <t>Unlimited consecutive failed attempts are accepted with no delay, CAPTCHA or lockout, leaving accounts open to credential stuffing and brute force.</t>
        </is>
      </c>
      <c r="H12" s="22" t="inlineStr">
        <is>
          <t>LGN-032</t>
        </is>
      </c>
      <c r="I12" s="22" t="inlineStr">
        <is>
          <t>Manual</t>
        </is>
      </c>
    </row>
    <row r="13">
      <c r="A13" s="24" t="inlineStr">
        <is>
          <t>DEMO-12</t>
        </is>
      </c>
      <c r="B13" s="25" t="inlineStr">
        <is>
          <t>Security</t>
        </is>
      </c>
      <c r="C13" s="33" t="inlineStr">
        <is>
          <t>Medium</t>
        </is>
      </c>
      <c r="D13" s="25" t="inlineStr">
        <is>
          <t>Medium</t>
        </is>
      </c>
      <c r="E13" s="25" t="inlineStr">
        <is>
          <t>Open</t>
        </is>
      </c>
      <c r="F13" s="25" t="inlineStr">
        <is>
          <t>No password policy</t>
        </is>
      </c>
      <c r="G13" s="25" t="inlineStr">
        <is>
          <t>Single-character passwords are accepted at registration; there is no minimum length, complexity or breach check.</t>
        </is>
      </c>
      <c r="H13" s="25" t="inlineStr">
        <is>
          <t>LGN-036</t>
        </is>
      </c>
      <c r="I13" s="25" t="inlineStr">
        <is>
          <t>Manual</t>
        </is>
      </c>
    </row>
    <row r="14">
      <c r="A14" s="21" t="inlineStr">
        <is>
          <t>DEMO-13</t>
        </is>
      </c>
      <c r="B14" s="22" t="inlineStr">
        <is>
          <t>Login</t>
        </is>
      </c>
      <c r="C14" s="32" t="inlineStr">
        <is>
          <t>Medium</t>
        </is>
      </c>
      <c r="D14" s="22" t="inlineStr">
        <is>
          <t>Low</t>
        </is>
      </c>
      <c r="E14" s="22" t="inlineStr">
        <is>
          <t>Open</t>
        </is>
      </c>
      <c r="F14" s="22" t="inlineStr">
        <is>
          <t>Login failure is silent when the API is unreachable</t>
        </is>
      </c>
      <c r="G14" s="22" t="inlineStr">
        <is>
          <t>A failed request produces no user-facing feedback — the modal simply stays open, indistinguishable from an unclicked button.</t>
        </is>
      </c>
      <c r="H14" s="22" t="inlineStr">
        <is>
          <t>LGN-043</t>
        </is>
      </c>
      <c r="I14" s="22" t="inlineStr">
        <is>
          <t>Manual</t>
        </is>
      </c>
    </row>
    <row r="15">
      <c r="A15" s="24" t="inlineStr">
        <is>
          <t>DEMO-14</t>
        </is>
      </c>
      <c r="B15" s="25" t="inlineStr">
        <is>
          <t>Security</t>
        </is>
      </c>
      <c r="C15" s="26" t="inlineStr">
        <is>
          <t>High</t>
        </is>
      </c>
      <c r="D15" s="25" t="inlineStr">
        <is>
          <t>High</t>
        </is>
      </c>
      <c r="E15" s="25" t="inlineStr">
        <is>
          <t>Open</t>
        </is>
      </c>
      <c r="F15" s="25" t="inlineStr">
        <is>
          <t>Full card number displayed unmasked on the receipt</t>
        </is>
      </c>
      <c r="G15" s="25" t="inlineStr">
        <is>
          <t>The order confirmation echoes the complete PAN as typed. Unnecessary exposure of cardholder data and a PCI-DSS concern in any real deployment.</t>
        </is>
      </c>
      <c r="H15" s="25" t="inlineStr">
        <is>
          <t>CRT-027</t>
        </is>
      </c>
      <c r="I15" s="25" t="inlineStr">
        <is>
          <t>tests/ui/cart/place-order.spec.ts › completes an order and reports the correct receipt</t>
        </is>
      </c>
    </row>
    <row r="16">
      <c r="A16" s="21" t="inlineStr">
        <is>
          <t>DEMO-15</t>
        </is>
      </c>
      <c r="B16" s="22" t="inlineStr">
        <is>
          <t>Checkout</t>
        </is>
      </c>
      <c r="C16" s="28" t="inlineStr">
        <is>
          <t>High</t>
        </is>
      </c>
      <c r="D16" s="22" t="inlineStr">
        <is>
          <t>Low</t>
        </is>
      </c>
      <c r="E16" s="22" t="inlineStr">
        <is>
          <t>Open</t>
        </is>
      </c>
      <c r="F16" s="22" t="inlineStr">
        <is>
          <t>Order confirmation is shown before the server confirms</t>
        </is>
      </c>
      <c r="G16" s="22" t="inlineStr">
        <is>
          <t>The receipt is rendered client-side without waiting for a successful server response, so a customer can be told an order succeeded when it did not.</t>
        </is>
      </c>
      <c r="H16" s="22" t="inlineStr">
        <is>
          <t>CRT-048</t>
        </is>
      </c>
      <c r="I16" s="22" t="inlineStr">
        <is>
          <t>Manual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2026-09-05T05:18:08Z</dcterms:created>
  <dcterms:modified xsi:type="dcterms:W3CDTF">2026-09-05T05:18:08Z</dcterms:modified>
</cp:coreProperties>
</file>